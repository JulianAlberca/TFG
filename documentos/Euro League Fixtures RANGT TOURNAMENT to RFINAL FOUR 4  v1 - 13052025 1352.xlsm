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vbaProject.bin" ContentType="application/vnd.ms-office.vbaProject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app.xml" ContentType="application/vnd.openxmlformats-officedocument.extended-properties+xml"/>
  <Override PartName="/xl/calcChain.xml" ContentType="application/vnd.openxmlformats-officedocument.spreadsheetml.calcChain+xml"/>
  <Override PartName="/xl/externalLinks/externalLink1.xml" ContentType="application/vnd.openxmlformats-officedocument.spreadsheetml.externalLink+xml"/>
  <Override PartName="/docProps/core.xml" ContentType="application/vnd.openxmlformats-package.core-properties+xml"/>
  <Override PartName="/xl/vbaProjectSignature.bin" ContentType="application/vnd.ms-office.vbaProjectSignature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ber\Desktop\TFG\TFG\documentos\"/>
    </mc:Choice>
  </mc:AlternateContent>
  <bookViews>
    <workbookView xWindow="-13410" yWindow="-16320" windowWidth="29040" windowHeight="15840"/>
  </bookViews>
  <sheets>
    <sheet name="Game Selection Email" sheetId="1" r:id="rId1"/>
  </sheets>
  <externalReferences>
    <externalReference r:id="rId2"/>
  </externalReferences>
  <definedNames>
    <definedName name="Access">[1]DATA!$AE$2:$AE$12</definedName>
    <definedName name="America_Plan">[1]DATA!$AQ$2:$AQ$9</definedName>
    <definedName name="AmerSat">'[1]SAT Data'!$A$705:INDEX('[1]SAT Data'!$A$705:$A$922,COUNTIF('[1]SAT Data'!$A$705:$A$922,"?*"))</definedName>
    <definedName name="_xlnm.Print_Area" localSheetId="0">'Game Selection Email'!$B$1:$P$36</definedName>
    <definedName name="Asia_Plan">[1]DATA!$AN$2:$AN$11</definedName>
    <definedName name="AsiaSat">'[1]SAT Data'!$A$502:INDEX('[1]SAT Data'!$A$502:$A$703,COUNTIF('[1]SAT Data'!$A$502:$A$703,"?*"))</definedName>
    <definedName name="Audio">[1]DATA!$BE$2:$BE$29</definedName>
    <definedName name="BISS">[1]BISS!$P$1:$P$2</definedName>
    <definedName name="BT_Takers">[1]DATA!$BS$2:$BS$12</definedName>
    <definedName name="BTT">[1]DATA!$AV$2:$AV$26</definedName>
    <definedName name="CING">[1]DATA!$CO$1:$CO$79</definedName>
    <definedName name="Clientlist">[1]Contracts!$A$3:$A$57</definedName>
    <definedName name="Commentator">[1]DATA!$B$2:$B$47</definedName>
    <definedName name="Comms">[1]DATA!$I$2:$I$8</definedName>
    <definedName name="Control">[1]DATA!$A$2:$A$49</definedName>
    <definedName name="CUR">[1]DATA!$V$2:$V$7</definedName>
    <definedName name="Deals">[1]DATA!$AM$2:$AM$9</definedName>
    <definedName name="EBU">[1]DATA!$AU$2:$AU$16</definedName>
    <definedName name="Euro_Plan">[1]DATA!$AK$2:$AK$13</definedName>
    <definedName name="EuroSat">'[1]SAT Data'!$A$4:INDEX('[1]SAT Data'!$A$4:$A$500,COUNTIF('[1]SAT Data'!$A$4:$A$500,"?*"))</definedName>
    <definedName name="GCUK">[1]DATA!$AX$2:$AX$13</definedName>
    <definedName name="IMGtoSky">[1]DATA!$AJ$2:$AJ$25</definedName>
    <definedName name="JUSTBTT">[1]DATA!$AV$5:$AV$26</definedName>
    <definedName name="Leases">[1]DATA!$AK$18:$AK$26</definedName>
    <definedName name="Mail_Dist">[1]DATA!$BK$2:$BK$5</definedName>
    <definedName name="MCR">[1]DATA!$D$2:$D$29</definedName>
    <definedName name="Month">[1]DATA!$J$2:$J$10</definedName>
    <definedName name="ON">[1]DATA!$Z$2:$Z$20</definedName>
    <definedName name="OrderNoteMatch">[1]Sorting!$ET$1:$ET$15</definedName>
    <definedName name="Regions">[1]DATA!$BC$2:$BC$6</definedName>
    <definedName name="Round">[1]DATA!$P$3:$P$113</definedName>
    <definedName name="SatEmail">[1]Sorting!$EJ$1:$EJ$21</definedName>
    <definedName name="SES">[1]DATA!$AW$2:$AW$18</definedName>
    <definedName name="SNG_FIBRE">[1]DATA!$AY$2:$AY$5</definedName>
    <definedName name="Sound">[1]DATA!$C$2:$C$19</definedName>
    <definedName name="Stream_Titan">[1]DATA!$CX$2:$CX$24</definedName>
    <definedName name="Supplier">[1]DATA!$AZ$2:$AZ$6</definedName>
    <definedName name="trueBT">[1]DATA!$AV$5:$AV$26</definedName>
    <definedName name="Type">[1]DATA!$AB$2:$AB$17</definedName>
    <definedName name="Version">[1]DATA!$BB$2:$BB$36</definedName>
    <definedName name="YesNo">[1]DATA!$AT$9:$AT$11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97" i="1" l="1"/>
  <c r="G397" i="1"/>
  <c r="F397" i="1"/>
  <c r="E397" i="1"/>
  <c r="D397" i="1"/>
  <c r="C397" i="1"/>
  <c r="B397" i="1"/>
  <c r="H396" i="1"/>
  <c r="G396" i="1"/>
  <c r="F396" i="1"/>
  <c r="E396" i="1"/>
  <c r="D396" i="1"/>
  <c r="C396" i="1"/>
  <c r="B396" i="1"/>
  <c r="H395" i="1"/>
  <c r="G395" i="1"/>
  <c r="F395" i="1"/>
  <c r="E395" i="1"/>
  <c r="D395" i="1"/>
  <c r="C395" i="1"/>
  <c r="B395" i="1"/>
  <c r="H394" i="1"/>
  <c r="G394" i="1"/>
  <c r="F394" i="1"/>
  <c r="E394" i="1"/>
  <c r="D394" i="1"/>
  <c r="C394" i="1"/>
  <c r="B394" i="1"/>
  <c r="H393" i="1"/>
  <c r="G393" i="1"/>
  <c r="F393" i="1"/>
  <c r="E393" i="1"/>
  <c r="D393" i="1"/>
  <c r="C393" i="1"/>
  <c r="B393" i="1"/>
  <c r="H392" i="1"/>
  <c r="G392" i="1"/>
  <c r="F392" i="1"/>
  <c r="E392" i="1"/>
  <c r="D392" i="1"/>
  <c r="C392" i="1"/>
  <c r="B392" i="1"/>
  <c r="H391" i="1"/>
  <c r="G391" i="1"/>
  <c r="F391" i="1"/>
  <c r="E391" i="1"/>
  <c r="D391" i="1"/>
  <c r="C391" i="1"/>
  <c r="B391" i="1"/>
  <c r="H390" i="1"/>
  <c r="G390" i="1"/>
  <c r="F390" i="1"/>
  <c r="E390" i="1"/>
  <c r="D390" i="1"/>
  <c r="C390" i="1"/>
  <c r="B390" i="1"/>
  <c r="H389" i="1"/>
  <c r="G389" i="1"/>
  <c r="F389" i="1"/>
  <c r="E389" i="1"/>
  <c r="D389" i="1"/>
  <c r="C389" i="1"/>
  <c r="B389" i="1"/>
  <c r="H388" i="1"/>
  <c r="G388" i="1"/>
  <c r="F388" i="1"/>
  <c r="E388" i="1"/>
  <c r="D388" i="1"/>
  <c r="C388" i="1"/>
  <c r="B388" i="1"/>
  <c r="H387" i="1"/>
  <c r="G387" i="1"/>
  <c r="F387" i="1"/>
  <c r="E387" i="1"/>
  <c r="D387" i="1"/>
  <c r="C387" i="1"/>
  <c r="B387" i="1"/>
  <c r="H386" i="1"/>
  <c r="G386" i="1"/>
  <c r="F386" i="1"/>
  <c r="E386" i="1"/>
  <c r="D386" i="1"/>
  <c r="C386" i="1"/>
  <c r="B386" i="1"/>
  <c r="H385" i="1"/>
  <c r="G385" i="1"/>
  <c r="F385" i="1"/>
  <c r="E385" i="1"/>
  <c r="D385" i="1"/>
  <c r="C385" i="1"/>
  <c r="B385" i="1"/>
  <c r="H384" i="1"/>
  <c r="G384" i="1"/>
  <c r="F384" i="1"/>
  <c r="E384" i="1"/>
  <c r="D384" i="1"/>
  <c r="C384" i="1"/>
  <c r="B384" i="1"/>
  <c r="H383" i="1"/>
  <c r="G383" i="1"/>
  <c r="F383" i="1"/>
  <c r="E383" i="1"/>
  <c r="D383" i="1"/>
  <c r="C383" i="1"/>
  <c r="B383" i="1"/>
  <c r="H382" i="1"/>
  <c r="G382" i="1"/>
  <c r="F382" i="1"/>
  <c r="E382" i="1"/>
  <c r="D382" i="1"/>
  <c r="C382" i="1"/>
  <c r="B382" i="1"/>
  <c r="H381" i="1"/>
  <c r="G381" i="1"/>
  <c r="F381" i="1"/>
  <c r="E381" i="1"/>
  <c r="D381" i="1"/>
  <c r="C381" i="1"/>
  <c r="B381" i="1"/>
  <c r="H380" i="1"/>
  <c r="G380" i="1"/>
  <c r="F380" i="1"/>
  <c r="E380" i="1"/>
  <c r="D380" i="1"/>
  <c r="C380" i="1"/>
  <c r="B380" i="1"/>
  <c r="H379" i="1"/>
  <c r="G379" i="1"/>
  <c r="F379" i="1"/>
  <c r="E379" i="1"/>
  <c r="D379" i="1"/>
  <c r="C379" i="1"/>
  <c r="B379" i="1"/>
  <c r="H378" i="1"/>
  <c r="G378" i="1"/>
  <c r="F378" i="1"/>
  <c r="E378" i="1"/>
  <c r="D378" i="1"/>
  <c r="C378" i="1"/>
  <c r="B378" i="1"/>
  <c r="H377" i="1"/>
  <c r="G377" i="1"/>
  <c r="F377" i="1"/>
  <c r="E377" i="1"/>
  <c r="D377" i="1"/>
  <c r="C377" i="1"/>
  <c r="B377" i="1"/>
  <c r="H376" i="1"/>
  <c r="G376" i="1"/>
  <c r="F376" i="1"/>
  <c r="E376" i="1"/>
  <c r="D376" i="1"/>
  <c r="C376" i="1"/>
  <c r="B376" i="1"/>
  <c r="H375" i="1"/>
  <c r="G375" i="1"/>
  <c r="F375" i="1"/>
  <c r="E375" i="1"/>
  <c r="D375" i="1"/>
  <c r="C375" i="1"/>
  <c r="B375" i="1"/>
  <c r="H374" i="1"/>
  <c r="G374" i="1"/>
  <c r="F374" i="1"/>
  <c r="E374" i="1"/>
  <c r="D374" i="1"/>
  <c r="C374" i="1"/>
  <c r="B374" i="1"/>
  <c r="H373" i="1"/>
  <c r="G373" i="1"/>
  <c r="F373" i="1"/>
  <c r="E373" i="1"/>
  <c r="D373" i="1"/>
  <c r="C373" i="1"/>
  <c r="B373" i="1"/>
  <c r="H372" i="1"/>
  <c r="G372" i="1"/>
  <c r="F372" i="1"/>
  <c r="E372" i="1"/>
  <c r="D372" i="1"/>
  <c r="C372" i="1"/>
  <c r="B372" i="1"/>
  <c r="H371" i="1"/>
  <c r="G371" i="1"/>
  <c r="F371" i="1"/>
  <c r="E371" i="1"/>
  <c r="D371" i="1"/>
  <c r="C371" i="1"/>
  <c r="B371" i="1"/>
  <c r="H370" i="1"/>
  <c r="G370" i="1"/>
  <c r="F370" i="1"/>
  <c r="E370" i="1"/>
  <c r="D370" i="1"/>
  <c r="C370" i="1"/>
  <c r="B370" i="1"/>
  <c r="H369" i="1"/>
  <c r="G369" i="1"/>
  <c r="F369" i="1"/>
  <c r="E369" i="1"/>
  <c r="D369" i="1"/>
  <c r="C369" i="1"/>
  <c r="B369" i="1"/>
  <c r="H368" i="1"/>
  <c r="G368" i="1"/>
  <c r="F368" i="1"/>
  <c r="E368" i="1"/>
  <c r="D368" i="1"/>
  <c r="C368" i="1"/>
  <c r="B368" i="1"/>
  <c r="H367" i="1"/>
  <c r="G367" i="1"/>
  <c r="F367" i="1"/>
  <c r="E367" i="1"/>
  <c r="D367" i="1"/>
  <c r="C367" i="1"/>
  <c r="B367" i="1"/>
  <c r="H366" i="1"/>
  <c r="G366" i="1"/>
  <c r="F366" i="1"/>
  <c r="E366" i="1"/>
  <c r="D366" i="1"/>
  <c r="C366" i="1"/>
  <c r="B366" i="1"/>
  <c r="H365" i="1"/>
  <c r="G365" i="1"/>
  <c r="F365" i="1"/>
  <c r="E365" i="1"/>
  <c r="D365" i="1"/>
  <c r="C365" i="1"/>
  <c r="B365" i="1"/>
  <c r="H364" i="1"/>
  <c r="G364" i="1"/>
  <c r="F364" i="1"/>
  <c r="E364" i="1"/>
  <c r="D364" i="1"/>
  <c r="C364" i="1"/>
  <c r="B364" i="1"/>
  <c r="H363" i="1"/>
  <c r="G363" i="1"/>
  <c r="F363" i="1"/>
  <c r="E363" i="1"/>
  <c r="D363" i="1"/>
  <c r="C363" i="1"/>
  <c r="B363" i="1"/>
  <c r="H362" i="1"/>
  <c r="G362" i="1"/>
  <c r="F362" i="1"/>
  <c r="E362" i="1"/>
  <c r="D362" i="1"/>
  <c r="C362" i="1"/>
  <c r="B362" i="1"/>
  <c r="H361" i="1"/>
  <c r="G361" i="1"/>
  <c r="F361" i="1"/>
  <c r="E361" i="1"/>
  <c r="D361" i="1"/>
  <c r="C361" i="1"/>
  <c r="B361" i="1"/>
  <c r="H360" i="1"/>
  <c r="G360" i="1"/>
  <c r="F360" i="1"/>
  <c r="E360" i="1"/>
  <c r="D360" i="1"/>
  <c r="C360" i="1"/>
  <c r="B360" i="1"/>
  <c r="H359" i="1"/>
  <c r="G359" i="1"/>
  <c r="F359" i="1"/>
  <c r="E359" i="1"/>
  <c r="D359" i="1"/>
  <c r="C359" i="1"/>
  <c r="B359" i="1"/>
  <c r="H358" i="1"/>
  <c r="G358" i="1"/>
  <c r="F358" i="1"/>
  <c r="E358" i="1"/>
  <c r="D358" i="1"/>
  <c r="C358" i="1"/>
  <c r="B358" i="1"/>
  <c r="H357" i="1"/>
  <c r="G357" i="1"/>
  <c r="F357" i="1"/>
  <c r="E357" i="1"/>
  <c r="D357" i="1"/>
  <c r="C357" i="1"/>
  <c r="B357" i="1"/>
  <c r="H356" i="1"/>
  <c r="G356" i="1"/>
  <c r="F356" i="1"/>
  <c r="E356" i="1"/>
  <c r="D356" i="1"/>
  <c r="C356" i="1"/>
  <c r="B356" i="1"/>
  <c r="H355" i="1"/>
  <c r="G355" i="1"/>
  <c r="F355" i="1"/>
  <c r="E355" i="1"/>
  <c r="D355" i="1"/>
  <c r="C355" i="1"/>
  <c r="B355" i="1"/>
  <c r="H354" i="1"/>
  <c r="G354" i="1"/>
  <c r="F354" i="1"/>
  <c r="E354" i="1"/>
  <c r="D354" i="1"/>
  <c r="C354" i="1"/>
  <c r="B354" i="1"/>
  <c r="H353" i="1"/>
  <c r="G353" i="1"/>
  <c r="F353" i="1"/>
  <c r="E353" i="1"/>
  <c r="D353" i="1"/>
  <c r="C353" i="1"/>
  <c r="B353" i="1"/>
  <c r="H352" i="1"/>
  <c r="G352" i="1"/>
  <c r="F352" i="1"/>
  <c r="E352" i="1"/>
  <c r="D352" i="1"/>
  <c r="C352" i="1"/>
  <c r="B352" i="1"/>
  <c r="H351" i="1"/>
  <c r="G351" i="1"/>
  <c r="F351" i="1"/>
  <c r="E351" i="1"/>
  <c r="D351" i="1"/>
  <c r="C351" i="1"/>
  <c r="B351" i="1"/>
  <c r="H350" i="1"/>
  <c r="G350" i="1"/>
  <c r="F350" i="1"/>
  <c r="E350" i="1"/>
  <c r="D350" i="1"/>
  <c r="C350" i="1"/>
  <c r="B350" i="1"/>
  <c r="H349" i="1"/>
  <c r="G349" i="1"/>
  <c r="F349" i="1"/>
  <c r="E349" i="1"/>
  <c r="D349" i="1"/>
  <c r="C349" i="1"/>
  <c r="B349" i="1"/>
  <c r="H348" i="1"/>
  <c r="G348" i="1"/>
  <c r="F348" i="1"/>
  <c r="E348" i="1"/>
  <c r="D348" i="1"/>
  <c r="C348" i="1"/>
  <c r="B348" i="1"/>
  <c r="H347" i="1"/>
  <c r="G347" i="1"/>
  <c r="F347" i="1"/>
  <c r="E347" i="1"/>
  <c r="D347" i="1"/>
  <c r="C347" i="1"/>
  <c r="B347" i="1"/>
  <c r="H346" i="1"/>
  <c r="G346" i="1"/>
  <c r="F346" i="1"/>
  <c r="E346" i="1"/>
  <c r="D346" i="1"/>
  <c r="C346" i="1"/>
  <c r="B346" i="1"/>
  <c r="H345" i="1"/>
  <c r="G345" i="1"/>
  <c r="F345" i="1"/>
  <c r="E345" i="1"/>
  <c r="D345" i="1"/>
  <c r="C345" i="1"/>
  <c r="B345" i="1"/>
  <c r="H344" i="1"/>
  <c r="G344" i="1"/>
  <c r="F344" i="1"/>
  <c r="E344" i="1"/>
  <c r="D344" i="1"/>
  <c r="C344" i="1"/>
  <c r="B344" i="1"/>
  <c r="H343" i="1"/>
  <c r="G343" i="1"/>
  <c r="F343" i="1"/>
  <c r="E343" i="1"/>
  <c r="D343" i="1"/>
  <c r="C343" i="1"/>
  <c r="B343" i="1"/>
  <c r="H342" i="1"/>
  <c r="G342" i="1"/>
  <c r="F342" i="1"/>
  <c r="E342" i="1"/>
  <c r="D342" i="1"/>
  <c r="C342" i="1"/>
  <c r="B342" i="1"/>
  <c r="H341" i="1"/>
  <c r="G341" i="1"/>
  <c r="F341" i="1"/>
  <c r="E341" i="1"/>
  <c r="D341" i="1"/>
  <c r="C341" i="1"/>
  <c r="B341" i="1"/>
  <c r="H340" i="1"/>
  <c r="G340" i="1"/>
  <c r="F340" i="1"/>
  <c r="E340" i="1"/>
  <c r="D340" i="1"/>
  <c r="C340" i="1"/>
  <c r="B340" i="1"/>
  <c r="H339" i="1"/>
  <c r="G339" i="1"/>
  <c r="F339" i="1"/>
  <c r="E339" i="1"/>
  <c r="D339" i="1"/>
  <c r="C339" i="1"/>
  <c r="B339" i="1"/>
  <c r="H338" i="1"/>
  <c r="G338" i="1"/>
  <c r="F338" i="1"/>
  <c r="E338" i="1"/>
  <c r="D338" i="1"/>
  <c r="C338" i="1"/>
  <c r="B338" i="1"/>
  <c r="H337" i="1"/>
  <c r="G337" i="1"/>
  <c r="F337" i="1"/>
  <c r="E337" i="1"/>
  <c r="D337" i="1"/>
  <c r="C337" i="1"/>
  <c r="B337" i="1"/>
  <c r="H336" i="1"/>
  <c r="G336" i="1"/>
  <c r="F336" i="1"/>
  <c r="E336" i="1"/>
  <c r="D336" i="1"/>
  <c r="C336" i="1"/>
  <c r="B336" i="1"/>
  <c r="H335" i="1"/>
  <c r="G335" i="1"/>
  <c r="F335" i="1"/>
  <c r="E335" i="1"/>
  <c r="D335" i="1"/>
  <c r="C335" i="1"/>
  <c r="B335" i="1"/>
  <c r="H334" i="1"/>
  <c r="G334" i="1"/>
  <c r="F334" i="1"/>
  <c r="E334" i="1"/>
  <c r="D334" i="1"/>
  <c r="C334" i="1"/>
  <c r="B334" i="1"/>
  <c r="H333" i="1"/>
  <c r="G333" i="1"/>
  <c r="F333" i="1"/>
  <c r="E333" i="1"/>
  <c r="D333" i="1"/>
  <c r="C333" i="1"/>
  <c r="B333" i="1"/>
  <c r="H332" i="1"/>
  <c r="G332" i="1"/>
  <c r="F332" i="1"/>
  <c r="E332" i="1"/>
  <c r="D332" i="1"/>
  <c r="C332" i="1"/>
  <c r="B332" i="1"/>
  <c r="H331" i="1"/>
  <c r="G331" i="1"/>
  <c r="F331" i="1"/>
  <c r="E331" i="1"/>
  <c r="D331" i="1"/>
  <c r="C331" i="1"/>
  <c r="B331" i="1"/>
  <c r="H330" i="1"/>
  <c r="G330" i="1"/>
  <c r="F330" i="1"/>
  <c r="E330" i="1"/>
  <c r="D330" i="1"/>
  <c r="C330" i="1"/>
  <c r="B330" i="1"/>
  <c r="H329" i="1"/>
  <c r="G329" i="1"/>
  <c r="F329" i="1"/>
  <c r="E329" i="1"/>
  <c r="D329" i="1"/>
  <c r="C329" i="1"/>
  <c r="B329" i="1"/>
  <c r="H328" i="1"/>
  <c r="G328" i="1"/>
  <c r="F328" i="1"/>
  <c r="E328" i="1"/>
  <c r="D328" i="1"/>
  <c r="C328" i="1"/>
  <c r="B328" i="1"/>
  <c r="H327" i="1"/>
  <c r="G327" i="1"/>
  <c r="F327" i="1"/>
  <c r="E327" i="1"/>
  <c r="D327" i="1"/>
  <c r="C327" i="1"/>
  <c r="B327" i="1"/>
  <c r="H326" i="1"/>
  <c r="G326" i="1"/>
  <c r="F326" i="1"/>
  <c r="E326" i="1"/>
  <c r="D326" i="1"/>
  <c r="C326" i="1"/>
  <c r="B326" i="1"/>
  <c r="H325" i="1"/>
  <c r="G325" i="1"/>
  <c r="F325" i="1"/>
  <c r="E325" i="1"/>
  <c r="D325" i="1"/>
  <c r="C325" i="1"/>
  <c r="B325" i="1"/>
  <c r="H324" i="1"/>
  <c r="G324" i="1"/>
  <c r="F324" i="1"/>
  <c r="E324" i="1"/>
  <c r="D324" i="1"/>
  <c r="C324" i="1"/>
  <c r="B324" i="1"/>
  <c r="H323" i="1"/>
  <c r="G323" i="1"/>
  <c r="F323" i="1"/>
  <c r="E323" i="1"/>
  <c r="D323" i="1"/>
  <c r="C323" i="1"/>
  <c r="B323" i="1"/>
  <c r="H322" i="1"/>
  <c r="G322" i="1"/>
  <c r="F322" i="1"/>
  <c r="E322" i="1"/>
  <c r="D322" i="1"/>
  <c r="C322" i="1"/>
  <c r="B322" i="1"/>
  <c r="H321" i="1"/>
  <c r="G321" i="1"/>
  <c r="F321" i="1"/>
  <c r="E321" i="1"/>
  <c r="D321" i="1"/>
  <c r="C321" i="1"/>
  <c r="B321" i="1"/>
  <c r="H320" i="1"/>
  <c r="G320" i="1"/>
  <c r="F320" i="1"/>
  <c r="E320" i="1"/>
  <c r="D320" i="1"/>
  <c r="C320" i="1"/>
  <c r="B320" i="1"/>
  <c r="H319" i="1"/>
  <c r="G319" i="1"/>
  <c r="F319" i="1"/>
  <c r="E319" i="1"/>
  <c r="D319" i="1"/>
  <c r="C319" i="1"/>
  <c r="B319" i="1"/>
  <c r="H318" i="1"/>
  <c r="G318" i="1"/>
  <c r="F318" i="1"/>
  <c r="E318" i="1"/>
  <c r="D318" i="1"/>
  <c r="C318" i="1"/>
  <c r="B318" i="1"/>
  <c r="H317" i="1"/>
  <c r="G317" i="1"/>
  <c r="F317" i="1"/>
  <c r="E317" i="1"/>
  <c r="D317" i="1"/>
  <c r="C317" i="1"/>
  <c r="B317" i="1"/>
  <c r="H316" i="1"/>
  <c r="G316" i="1"/>
  <c r="F316" i="1"/>
  <c r="E316" i="1"/>
  <c r="D316" i="1"/>
  <c r="C316" i="1"/>
  <c r="B316" i="1"/>
  <c r="H315" i="1"/>
  <c r="G315" i="1"/>
  <c r="F315" i="1"/>
  <c r="E315" i="1"/>
  <c r="D315" i="1"/>
  <c r="C315" i="1"/>
  <c r="B315" i="1"/>
  <c r="H314" i="1"/>
  <c r="G314" i="1"/>
  <c r="F314" i="1"/>
  <c r="E314" i="1"/>
  <c r="D314" i="1"/>
  <c r="C314" i="1"/>
  <c r="B314" i="1"/>
  <c r="H313" i="1"/>
  <c r="G313" i="1"/>
  <c r="F313" i="1"/>
  <c r="E313" i="1"/>
  <c r="D313" i="1"/>
  <c r="C313" i="1"/>
  <c r="B313" i="1"/>
  <c r="H312" i="1"/>
  <c r="G312" i="1"/>
  <c r="F312" i="1"/>
  <c r="E312" i="1"/>
  <c r="D312" i="1"/>
  <c r="C312" i="1"/>
  <c r="B312" i="1"/>
  <c r="H311" i="1"/>
  <c r="G311" i="1"/>
  <c r="F311" i="1"/>
  <c r="E311" i="1"/>
  <c r="D311" i="1"/>
  <c r="C311" i="1"/>
  <c r="B311" i="1"/>
  <c r="H310" i="1"/>
  <c r="G310" i="1"/>
  <c r="F310" i="1"/>
  <c r="E310" i="1"/>
  <c r="D310" i="1"/>
  <c r="C310" i="1"/>
  <c r="B310" i="1"/>
  <c r="H309" i="1"/>
  <c r="G309" i="1"/>
  <c r="F309" i="1"/>
  <c r="E309" i="1"/>
  <c r="D309" i="1"/>
  <c r="C309" i="1"/>
  <c r="B309" i="1"/>
  <c r="H308" i="1"/>
  <c r="G308" i="1"/>
  <c r="F308" i="1"/>
  <c r="E308" i="1"/>
  <c r="D308" i="1"/>
  <c r="C308" i="1"/>
  <c r="B308" i="1"/>
  <c r="H307" i="1"/>
  <c r="G307" i="1"/>
  <c r="F307" i="1"/>
  <c r="E307" i="1"/>
  <c r="D307" i="1"/>
  <c r="C307" i="1"/>
  <c r="B307" i="1"/>
  <c r="H306" i="1"/>
  <c r="G306" i="1"/>
  <c r="F306" i="1"/>
  <c r="E306" i="1"/>
  <c r="D306" i="1"/>
  <c r="C306" i="1"/>
  <c r="B306" i="1"/>
  <c r="H305" i="1"/>
  <c r="G305" i="1"/>
  <c r="F305" i="1"/>
  <c r="E305" i="1"/>
  <c r="D305" i="1"/>
  <c r="C305" i="1"/>
  <c r="B305" i="1"/>
  <c r="H304" i="1"/>
  <c r="G304" i="1"/>
  <c r="F304" i="1"/>
  <c r="E304" i="1"/>
  <c r="D304" i="1"/>
  <c r="C304" i="1"/>
  <c r="B304" i="1"/>
  <c r="H303" i="1"/>
  <c r="G303" i="1"/>
  <c r="F303" i="1"/>
  <c r="E303" i="1"/>
  <c r="D303" i="1"/>
  <c r="C303" i="1"/>
  <c r="B303" i="1"/>
  <c r="H302" i="1"/>
  <c r="G302" i="1"/>
  <c r="F302" i="1"/>
  <c r="E302" i="1"/>
  <c r="D302" i="1"/>
  <c r="C302" i="1"/>
  <c r="B302" i="1"/>
  <c r="H301" i="1"/>
  <c r="G301" i="1"/>
  <c r="F301" i="1"/>
  <c r="E301" i="1"/>
  <c r="D301" i="1"/>
  <c r="C301" i="1"/>
  <c r="B301" i="1"/>
  <c r="H300" i="1"/>
  <c r="G300" i="1"/>
  <c r="F300" i="1"/>
  <c r="E300" i="1"/>
  <c r="D300" i="1"/>
  <c r="C300" i="1"/>
  <c r="B300" i="1"/>
  <c r="H299" i="1"/>
  <c r="G299" i="1"/>
  <c r="F299" i="1"/>
  <c r="E299" i="1"/>
  <c r="D299" i="1"/>
  <c r="C299" i="1"/>
  <c r="B299" i="1"/>
  <c r="H298" i="1"/>
  <c r="G298" i="1"/>
  <c r="F298" i="1"/>
  <c r="E298" i="1"/>
  <c r="D298" i="1"/>
  <c r="C298" i="1"/>
  <c r="B298" i="1"/>
  <c r="H297" i="1"/>
  <c r="G297" i="1"/>
  <c r="F297" i="1"/>
  <c r="E297" i="1"/>
  <c r="D297" i="1"/>
  <c r="C297" i="1"/>
  <c r="B297" i="1"/>
  <c r="H296" i="1"/>
  <c r="G296" i="1"/>
  <c r="F296" i="1"/>
  <c r="E296" i="1"/>
  <c r="D296" i="1"/>
  <c r="C296" i="1"/>
  <c r="B296" i="1"/>
  <c r="H295" i="1"/>
  <c r="G295" i="1"/>
  <c r="F295" i="1"/>
  <c r="E295" i="1"/>
  <c r="D295" i="1"/>
  <c r="C295" i="1"/>
  <c r="B295" i="1"/>
  <c r="H294" i="1"/>
  <c r="G294" i="1"/>
  <c r="F294" i="1"/>
  <c r="E294" i="1"/>
  <c r="D294" i="1"/>
  <c r="C294" i="1"/>
  <c r="B294" i="1"/>
  <c r="H293" i="1"/>
  <c r="G293" i="1"/>
  <c r="F293" i="1"/>
  <c r="E293" i="1"/>
  <c r="D293" i="1"/>
  <c r="C293" i="1"/>
  <c r="B293" i="1"/>
  <c r="H292" i="1"/>
  <c r="G292" i="1"/>
  <c r="F292" i="1"/>
  <c r="E292" i="1"/>
  <c r="D292" i="1"/>
  <c r="C292" i="1"/>
  <c r="B292" i="1"/>
  <c r="H291" i="1"/>
  <c r="G291" i="1"/>
  <c r="F291" i="1"/>
  <c r="E291" i="1"/>
  <c r="D291" i="1"/>
  <c r="C291" i="1"/>
  <c r="B291" i="1"/>
  <c r="H290" i="1"/>
  <c r="G290" i="1"/>
  <c r="F290" i="1"/>
  <c r="E290" i="1"/>
  <c r="D290" i="1"/>
  <c r="C290" i="1"/>
  <c r="B290" i="1"/>
  <c r="H289" i="1"/>
  <c r="G289" i="1"/>
  <c r="F289" i="1"/>
  <c r="E289" i="1"/>
  <c r="D289" i="1"/>
  <c r="C289" i="1"/>
  <c r="B289" i="1"/>
  <c r="H288" i="1"/>
  <c r="G288" i="1"/>
  <c r="F288" i="1"/>
  <c r="E288" i="1"/>
  <c r="D288" i="1"/>
  <c r="C288" i="1"/>
  <c r="B288" i="1"/>
  <c r="H287" i="1"/>
  <c r="G287" i="1"/>
  <c r="F287" i="1"/>
  <c r="E287" i="1"/>
  <c r="D287" i="1"/>
  <c r="C287" i="1"/>
  <c r="B287" i="1"/>
  <c r="H286" i="1"/>
  <c r="G286" i="1"/>
  <c r="F286" i="1"/>
  <c r="E286" i="1"/>
  <c r="D286" i="1"/>
  <c r="C286" i="1"/>
  <c r="B286" i="1"/>
  <c r="H285" i="1"/>
  <c r="G285" i="1"/>
  <c r="F285" i="1"/>
  <c r="E285" i="1"/>
  <c r="D285" i="1"/>
  <c r="C285" i="1"/>
  <c r="B285" i="1"/>
  <c r="H284" i="1"/>
  <c r="G284" i="1"/>
  <c r="F284" i="1"/>
  <c r="E284" i="1"/>
  <c r="D284" i="1"/>
  <c r="C284" i="1"/>
  <c r="B284" i="1"/>
  <c r="H283" i="1"/>
  <c r="G283" i="1"/>
  <c r="F283" i="1"/>
  <c r="E283" i="1"/>
  <c r="D283" i="1"/>
  <c r="C283" i="1"/>
  <c r="B283" i="1"/>
  <c r="H282" i="1"/>
  <c r="G282" i="1"/>
  <c r="F282" i="1"/>
  <c r="E282" i="1"/>
  <c r="D282" i="1"/>
  <c r="C282" i="1"/>
  <c r="B282" i="1"/>
  <c r="H281" i="1"/>
  <c r="G281" i="1"/>
  <c r="F281" i="1"/>
  <c r="E281" i="1"/>
  <c r="D281" i="1"/>
  <c r="C281" i="1"/>
  <c r="B281" i="1"/>
  <c r="H280" i="1"/>
  <c r="G280" i="1"/>
  <c r="F280" i="1"/>
  <c r="E280" i="1"/>
  <c r="D280" i="1"/>
  <c r="C280" i="1"/>
  <c r="B280" i="1"/>
  <c r="H279" i="1"/>
  <c r="G279" i="1"/>
  <c r="F279" i="1"/>
  <c r="E279" i="1"/>
  <c r="D279" i="1"/>
  <c r="C279" i="1"/>
  <c r="B279" i="1"/>
  <c r="H278" i="1"/>
  <c r="G278" i="1"/>
  <c r="F278" i="1"/>
  <c r="E278" i="1"/>
  <c r="D278" i="1"/>
  <c r="C278" i="1"/>
  <c r="B278" i="1"/>
  <c r="H277" i="1"/>
  <c r="G277" i="1"/>
  <c r="F277" i="1"/>
  <c r="E277" i="1"/>
  <c r="D277" i="1"/>
  <c r="C277" i="1"/>
  <c r="B277" i="1"/>
  <c r="H276" i="1"/>
  <c r="G276" i="1"/>
  <c r="F276" i="1"/>
  <c r="E276" i="1"/>
  <c r="D276" i="1"/>
  <c r="C276" i="1"/>
  <c r="B276" i="1"/>
  <c r="H275" i="1"/>
  <c r="G275" i="1"/>
  <c r="F275" i="1"/>
  <c r="E275" i="1"/>
  <c r="D275" i="1"/>
  <c r="C275" i="1"/>
  <c r="B275" i="1"/>
  <c r="H274" i="1"/>
  <c r="G274" i="1"/>
  <c r="F274" i="1"/>
  <c r="E274" i="1"/>
  <c r="D274" i="1"/>
  <c r="C274" i="1"/>
  <c r="B274" i="1"/>
  <c r="H273" i="1"/>
  <c r="G273" i="1"/>
  <c r="F273" i="1"/>
  <c r="E273" i="1"/>
  <c r="D273" i="1"/>
  <c r="C273" i="1"/>
  <c r="B273" i="1"/>
  <c r="H272" i="1"/>
  <c r="G272" i="1"/>
  <c r="F272" i="1"/>
  <c r="E272" i="1"/>
  <c r="D272" i="1"/>
  <c r="C272" i="1"/>
  <c r="B272" i="1"/>
  <c r="H271" i="1"/>
  <c r="G271" i="1"/>
  <c r="F271" i="1"/>
  <c r="E271" i="1"/>
  <c r="D271" i="1"/>
  <c r="C271" i="1"/>
  <c r="B271" i="1"/>
  <c r="H270" i="1"/>
  <c r="G270" i="1"/>
  <c r="F270" i="1"/>
  <c r="E270" i="1"/>
  <c r="D270" i="1"/>
  <c r="C270" i="1"/>
  <c r="B270" i="1"/>
  <c r="H269" i="1"/>
  <c r="G269" i="1"/>
  <c r="F269" i="1"/>
  <c r="E269" i="1"/>
  <c r="D269" i="1"/>
  <c r="C269" i="1"/>
  <c r="B269" i="1"/>
  <c r="H268" i="1"/>
  <c r="G268" i="1"/>
  <c r="F268" i="1"/>
  <c r="E268" i="1"/>
  <c r="D268" i="1"/>
  <c r="C268" i="1"/>
  <c r="B268" i="1"/>
  <c r="H267" i="1"/>
  <c r="G267" i="1"/>
  <c r="F267" i="1"/>
  <c r="E267" i="1"/>
  <c r="D267" i="1"/>
  <c r="C267" i="1"/>
  <c r="B267" i="1"/>
  <c r="H266" i="1"/>
  <c r="G266" i="1"/>
  <c r="F266" i="1"/>
  <c r="E266" i="1"/>
  <c r="D266" i="1"/>
  <c r="C266" i="1"/>
  <c r="B266" i="1"/>
  <c r="H265" i="1"/>
  <c r="G265" i="1"/>
  <c r="F265" i="1"/>
  <c r="E265" i="1"/>
  <c r="D265" i="1"/>
  <c r="C265" i="1"/>
  <c r="B265" i="1"/>
  <c r="H264" i="1"/>
  <c r="G264" i="1"/>
  <c r="F264" i="1"/>
  <c r="E264" i="1"/>
  <c r="D264" i="1"/>
  <c r="C264" i="1"/>
  <c r="B264" i="1"/>
  <c r="H263" i="1"/>
  <c r="G263" i="1"/>
  <c r="F263" i="1"/>
  <c r="E263" i="1"/>
  <c r="D263" i="1"/>
  <c r="C263" i="1"/>
  <c r="B263" i="1"/>
  <c r="H262" i="1"/>
  <c r="G262" i="1"/>
  <c r="F262" i="1"/>
  <c r="E262" i="1"/>
  <c r="D262" i="1"/>
  <c r="C262" i="1"/>
  <c r="B262" i="1"/>
  <c r="H261" i="1"/>
  <c r="G261" i="1"/>
  <c r="F261" i="1"/>
  <c r="E261" i="1"/>
  <c r="D261" i="1"/>
  <c r="C261" i="1"/>
  <c r="B261" i="1"/>
  <c r="H260" i="1"/>
  <c r="G260" i="1"/>
  <c r="F260" i="1"/>
  <c r="E260" i="1"/>
  <c r="D260" i="1"/>
  <c r="C260" i="1"/>
  <c r="B260" i="1"/>
  <c r="H259" i="1"/>
  <c r="G259" i="1"/>
  <c r="F259" i="1"/>
  <c r="E259" i="1"/>
  <c r="D259" i="1"/>
  <c r="C259" i="1"/>
  <c r="B259" i="1"/>
  <c r="H258" i="1"/>
  <c r="G258" i="1"/>
  <c r="F258" i="1"/>
  <c r="E258" i="1"/>
  <c r="D258" i="1"/>
  <c r="C258" i="1"/>
  <c r="B258" i="1"/>
  <c r="H257" i="1"/>
  <c r="G257" i="1"/>
  <c r="F257" i="1"/>
  <c r="E257" i="1"/>
  <c r="D257" i="1"/>
  <c r="C257" i="1"/>
  <c r="B257" i="1"/>
  <c r="H256" i="1"/>
  <c r="G256" i="1"/>
  <c r="F256" i="1"/>
  <c r="E256" i="1"/>
  <c r="D256" i="1"/>
  <c r="C256" i="1"/>
  <c r="B256" i="1"/>
  <c r="H255" i="1"/>
  <c r="G255" i="1"/>
  <c r="F255" i="1"/>
  <c r="E255" i="1"/>
  <c r="D255" i="1"/>
  <c r="C255" i="1"/>
  <c r="B255" i="1"/>
  <c r="H254" i="1"/>
  <c r="G254" i="1"/>
  <c r="F254" i="1"/>
  <c r="E254" i="1"/>
  <c r="D254" i="1"/>
  <c r="C254" i="1"/>
  <c r="B254" i="1"/>
  <c r="H253" i="1"/>
  <c r="G253" i="1"/>
  <c r="F253" i="1"/>
  <c r="E253" i="1"/>
  <c r="D253" i="1"/>
  <c r="C253" i="1"/>
  <c r="B253" i="1"/>
  <c r="H252" i="1"/>
  <c r="G252" i="1"/>
  <c r="F252" i="1"/>
  <c r="E252" i="1"/>
  <c r="D252" i="1"/>
  <c r="C252" i="1"/>
  <c r="B252" i="1"/>
  <c r="H251" i="1"/>
  <c r="G251" i="1"/>
  <c r="F251" i="1"/>
  <c r="E251" i="1"/>
  <c r="D251" i="1"/>
  <c r="C251" i="1"/>
  <c r="B251" i="1"/>
  <c r="H250" i="1"/>
  <c r="G250" i="1"/>
  <c r="F250" i="1"/>
  <c r="E250" i="1"/>
  <c r="D250" i="1"/>
  <c r="C250" i="1"/>
  <c r="B250" i="1"/>
  <c r="H249" i="1"/>
  <c r="G249" i="1"/>
  <c r="F249" i="1"/>
  <c r="E249" i="1"/>
  <c r="D249" i="1"/>
  <c r="C249" i="1"/>
  <c r="B249" i="1"/>
  <c r="H248" i="1"/>
  <c r="G248" i="1"/>
  <c r="F248" i="1"/>
  <c r="E248" i="1"/>
  <c r="D248" i="1"/>
  <c r="C248" i="1"/>
  <c r="B248" i="1"/>
  <c r="H247" i="1"/>
  <c r="G247" i="1"/>
  <c r="F247" i="1"/>
  <c r="E247" i="1"/>
  <c r="D247" i="1"/>
  <c r="C247" i="1"/>
  <c r="B247" i="1"/>
  <c r="H246" i="1"/>
  <c r="G246" i="1"/>
  <c r="F246" i="1"/>
  <c r="E246" i="1"/>
  <c r="D246" i="1"/>
  <c r="C246" i="1"/>
  <c r="B246" i="1"/>
  <c r="H245" i="1"/>
  <c r="G245" i="1"/>
  <c r="F245" i="1"/>
  <c r="E245" i="1"/>
  <c r="D245" i="1"/>
  <c r="C245" i="1"/>
  <c r="B245" i="1"/>
  <c r="H244" i="1"/>
  <c r="G244" i="1"/>
  <c r="F244" i="1"/>
  <c r="E244" i="1"/>
  <c r="D244" i="1"/>
  <c r="C244" i="1"/>
  <c r="B244" i="1"/>
  <c r="H243" i="1"/>
  <c r="G243" i="1"/>
  <c r="F243" i="1"/>
  <c r="E243" i="1"/>
  <c r="D243" i="1"/>
  <c r="C243" i="1"/>
  <c r="B243" i="1"/>
  <c r="H242" i="1"/>
  <c r="G242" i="1"/>
  <c r="F242" i="1"/>
  <c r="E242" i="1"/>
  <c r="D242" i="1"/>
  <c r="C242" i="1"/>
  <c r="B242" i="1"/>
  <c r="H241" i="1"/>
  <c r="G241" i="1"/>
  <c r="F241" i="1"/>
  <c r="E241" i="1"/>
  <c r="D241" i="1"/>
  <c r="C241" i="1"/>
  <c r="B241" i="1"/>
  <c r="H240" i="1"/>
  <c r="G240" i="1"/>
  <c r="F240" i="1"/>
  <c r="E240" i="1"/>
  <c r="D240" i="1"/>
  <c r="C240" i="1"/>
  <c r="B240" i="1"/>
  <c r="H239" i="1"/>
  <c r="G239" i="1"/>
  <c r="F239" i="1"/>
  <c r="E239" i="1"/>
  <c r="D239" i="1"/>
  <c r="C239" i="1"/>
  <c r="B239" i="1"/>
  <c r="H238" i="1"/>
  <c r="G238" i="1"/>
  <c r="F238" i="1"/>
  <c r="E238" i="1"/>
  <c r="D238" i="1"/>
  <c r="C238" i="1"/>
  <c r="B238" i="1"/>
  <c r="H237" i="1"/>
  <c r="G237" i="1"/>
  <c r="F237" i="1"/>
  <c r="E237" i="1"/>
  <c r="D237" i="1"/>
  <c r="C237" i="1"/>
  <c r="B237" i="1"/>
  <c r="H236" i="1"/>
  <c r="G236" i="1"/>
  <c r="F236" i="1"/>
  <c r="E236" i="1"/>
  <c r="D236" i="1"/>
  <c r="C236" i="1"/>
  <c r="B236" i="1"/>
  <c r="H235" i="1"/>
  <c r="G235" i="1"/>
  <c r="F235" i="1"/>
  <c r="E235" i="1"/>
  <c r="D235" i="1"/>
  <c r="C235" i="1"/>
  <c r="B235" i="1"/>
  <c r="H234" i="1"/>
  <c r="G234" i="1"/>
  <c r="F234" i="1"/>
  <c r="E234" i="1"/>
  <c r="D234" i="1"/>
  <c r="C234" i="1"/>
  <c r="B234" i="1"/>
  <c r="H233" i="1"/>
  <c r="G233" i="1"/>
  <c r="F233" i="1"/>
  <c r="E233" i="1"/>
  <c r="D233" i="1"/>
  <c r="C233" i="1"/>
  <c r="B233" i="1"/>
  <c r="H232" i="1"/>
  <c r="G232" i="1"/>
  <c r="F232" i="1"/>
  <c r="E232" i="1"/>
  <c r="D232" i="1"/>
  <c r="C232" i="1"/>
  <c r="B232" i="1"/>
  <c r="H231" i="1"/>
  <c r="G231" i="1"/>
  <c r="F231" i="1"/>
  <c r="E231" i="1"/>
  <c r="D231" i="1"/>
  <c r="C231" i="1"/>
  <c r="B231" i="1"/>
  <c r="H230" i="1"/>
  <c r="G230" i="1"/>
  <c r="F230" i="1"/>
  <c r="E230" i="1"/>
  <c r="D230" i="1"/>
  <c r="C230" i="1"/>
  <c r="B230" i="1"/>
  <c r="H229" i="1"/>
  <c r="G229" i="1"/>
  <c r="F229" i="1"/>
  <c r="E229" i="1"/>
  <c r="D229" i="1"/>
  <c r="C229" i="1"/>
  <c r="B229" i="1"/>
  <c r="H228" i="1"/>
  <c r="G228" i="1"/>
  <c r="F228" i="1"/>
  <c r="E228" i="1"/>
  <c r="D228" i="1"/>
  <c r="C228" i="1"/>
  <c r="B228" i="1"/>
  <c r="H227" i="1"/>
  <c r="G227" i="1"/>
  <c r="F227" i="1"/>
  <c r="E227" i="1"/>
  <c r="D227" i="1"/>
  <c r="C227" i="1"/>
  <c r="B227" i="1"/>
  <c r="H226" i="1"/>
  <c r="G226" i="1"/>
  <c r="F226" i="1"/>
  <c r="E226" i="1"/>
  <c r="D226" i="1"/>
  <c r="C226" i="1"/>
  <c r="B226" i="1"/>
  <c r="H225" i="1"/>
  <c r="G225" i="1"/>
  <c r="F225" i="1"/>
  <c r="E225" i="1"/>
  <c r="D225" i="1"/>
  <c r="C225" i="1"/>
  <c r="B225" i="1"/>
  <c r="H224" i="1"/>
  <c r="G224" i="1"/>
  <c r="F224" i="1"/>
  <c r="E224" i="1"/>
  <c r="D224" i="1"/>
  <c r="C224" i="1"/>
  <c r="B224" i="1"/>
  <c r="H223" i="1"/>
  <c r="G223" i="1"/>
  <c r="F223" i="1"/>
  <c r="E223" i="1"/>
  <c r="D223" i="1"/>
  <c r="C223" i="1"/>
  <c r="B223" i="1"/>
  <c r="H222" i="1"/>
  <c r="G222" i="1"/>
  <c r="F222" i="1"/>
  <c r="E222" i="1"/>
  <c r="D222" i="1"/>
  <c r="C222" i="1"/>
  <c r="B222" i="1"/>
  <c r="H221" i="1"/>
  <c r="G221" i="1"/>
  <c r="F221" i="1"/>
  <c r="E221" i="1"/>
  <c r="D221" i="1"/>
  <c r="C221" i="1"/>
  <c r="B221" i="1"/>
  <c r="H220" i="1"/>
  <c r="G220" i="1"/>
  <c r="F220" i="1"/>
  <c r="E220" i="1"/>
  <c r="D220" i="1"/>
  <c r="C220" i="1"/>
  <c r="B220" i="1"/>
  <c r="H219" i="1"/>
  <c r="G219" i="1"/>
  <c r="F219" i="1"/>
  <c r="E219" i="1"/>
  <c r="D219" i="1"/>
  <c r="C219" i="1"/>
  <c r="B219" i="1"/>
  <c r="H218" i="1"/>
  <c r="G218" i="1"/>
  <c r="F218" i="1"/>
  <c r="E218" i="1"/>
  <c r="D218" i="1"/>
  <c r="C218" i="1"/>
  <c r="B218" i="1"/>
  <c r="H217" i="1"/>
  <c r="G217" i="1"/>
  <c r="F217" i="1"/>
  <c r="E217" i="1"/>
  <c r="D217" i="1"/>
  <c r="C217" i="1"/>
  <c r="B217" i="1"/>
  <c r="H216" i="1"/>
  <c r="G216" i="1"/>
  <c r="F216" i="1"/>
  <c r="E216" i="1"/>
  <c r="D216" i="1"/>
  <c r="C216" i="1"/>
  <c r="B216" i="1"/>
  <c r="H215" i="1"/>
  <c r="G215" i="1"/>
  <c r="F215" i="1"/>
  <c r="E215" i="1"/>
  <c r="D215" i="1"/>
  <c r="C215" i="1"/>
  <c r="B215" i="1"/>
  <c r="H214" i="1"/>
  <c r="G214" i="1"/>
  <c r="F214" i="1"/>
  <c r="E214" i="1"/>
  <c r="D214" i="1"/>
  <c r="C214" i="1"/>
  <c r="B214" i="1"/>
  <c r="H213" i="1"/>
  <c r="G213" i="1"/>
  <c r="F213" i="1"/>
  <c r="E213" i="1"/>
  <c r="D213" i="1"/>
  <c r="C213" i="1"/>
  <c r="B213" i="1"/>
  <c r="H212" i="1"/>
  <c r="G212" i="1"/>
  <c r="F212" i="1"/>
  <c r="E212" i="1"/>
  <c r="D212" i="1"/>
  <c r="C212" i="1"/>
  <c r="B212" i="1"/>
  <c r="H211" i="1"/>
  <c r="G211" i="1"/>
  <c r="F211" i="1"/>
  <c r="E211" i="1"/>
  <c r="D211" i="1"/>
  <c r="C211" i="1"/>
  <c r="B211" i="1"/>
  <c r="H210" i="1"/>
  <c r="G210" i="1"/>
  <c r="F210" i="1"/>
  <c r="E210" i="1"/>
  <c r="D210" i="1"/>
  <c r="C210" i="1"/>
  <c r="B210" i="1"/>
  <c r="H209" i="1"/>
  <c r="G209" i="1"/>
  <c r="F209" i="1"/>
  <c r="E209" i="1"/>
  <c r="D209" i="1"/>
  <c r="C209" i="1"/>
  <c r="B209" i="1"/>
  <c r="H208" i="1"/>
  <c r="G208" i="1"/>
  <c r="F208" i="1"/>
  <c r="E208" i="1"/>
  <c r="D208" i="1"/>
  <c r="C208" i="1"/>
  <c r="B208" i="1"/>
  <c r="H207" i="1"/>
  <c r="G207" i="1"/>
  <c r="F207" i="1"/>
  <c r="E207" i="1"/>
  <c r="D207" i="1"/>
  <c r="C207" i="1"/>
  <c r="B207" i="1"/>
  <c r="H206" i="1"/>
  <c r="G206" i="1"/>
  <c r="F206" i="1"/>
  <c r="E206" i="1"/>
  <c r="D206" i="1"/>
  <c r="C206" i="1"/>
  <c r="B206" i="1"/>
  <c r="H205" i="1"/>
  <c r="G205" i="1"/>
  <c r="F205" i="1"/>
  <c r="E205" i="1"/>
  <c r="D205" i="1"/>
  <c r="C205" i="1"/>
  <c r="B205" i="1"/>
  <c r="H204" i="1"/>
  <c r="G204" i="1"/>
  <c r="F204" i="1"/>
  <c r="E204" i="1"/>
  <c r="D204" i="1"/>
  <c r="C204" i="1"/>
  <c r="B204" i="1"/>
  <c r="H203" i="1"/>
  <c r="G203" i="1"/>
  <c r="F203" i="1"/>
  <c r="E203" i="1"/>
  <c r="D203" i="1"/>
  <c r="C203" i="1"/>
  <c r="B203" i="1"/>
  <c r="H202" i="1"/>
  <c r="G202" i="1"/>
  <c r="F202" i="1"/>
  <c r="E202" i="1"/>
  <c r="D202" i="1"/>
  <c r="C202" i="1"/>
  <c r="B202" i="1"/>
  <c r="H201" i="1"/>
  <c r="G201" i="1"/>
  <c r="F201" i="1"/>
  <c r="E201" i="1"/>
  <c r="D201" i="1"/>
  <c r="C201" i="1"/>
  <c r="B201" i="1"/>
  <c r="H200" i="1"/>
  <c r="G200" i="1"/>
  <c r="F200" i="1"/>
  <c r="E200" i="1"/>
  <c r="D200" i="1"/>
  <c r="C200" i="1"/>
  <c r="B200" i="1"/>
  <c r="H199" i="1"/>
  <c r="G199" i="1"/>
  <c r="F199" i="1"/>
  <c r="E199" i="1"/>
  <c r="D199" i="1"/>
  <c r="C199" i="1"/>
  <c r="B199" i="1"/>
  <c r="H198" i="1"/>
  <c r="G198" i="1"/>
  <c r="F198" i="1"/>
  <c r="E198" i="1"/>
  <c r="D198" i="1"/>
  <c r="C198" i="1"/>
  <c r="B198" i="1"/>
  <c r="H197" i="1"/>
  <c r="G197" i="1"/>
  <c r="F197" i="1"/>
  <c r="E197" i="1"/>
  <c r="D197" i="1"/>
  <c r="C197" i="1"/>
  <c r="B197" i="1"/>
  <c r="H196" i="1"/>
  <c r="G196" i="1"/>
  <c r="F196" i="1"/>
  <c r="E196" i="1"/>
  <c r="D196" i="1"/>
  <c r="C196" i="1"/>
  <c r="B196" i="1"/>
  <c r="H195" i="1"/>
  <c r="G195" i="1"/>
  <c r="F195" i="1"/>
  <c r="E195" i="1"/>
  <c r="D195" i="1"/>
  <c r="C195" i="1"/>
  <c r="B195" i="1"/>
  <c r="H194" i="1"/>
  <c r="G194" i="1"/>
  <c r="F194" i="1"/>
  <c r="E194" i="1"/>
  <c r="D194" i="1"/>
  <c r="C194" i="1"/>
  <c r="B194" i="1"/>
  <c r="H193" i="1"/>
  <c r="G193" i="1"/>
  <c r="F193" i="1"/>
  <c r="E193" i="1"/>
  <c r="D193" i="1"/>
  <c r="C193" i="1"/>
  <c r="B193" i="1"/>
  <c r="H192" i="1"/>
  <c r="G192" i="1"/>
  <c r="F192" i="1"/>
  <c r="E192" i="1"/>
  <c r="D192" i="1"/>
  <c r="C192" i="1"/>
  <c r="B192" i="1"/>
  <c r="H191" i="1"/>
  <c r="G191" i="1"/>
  <c r="F191" i="1"/>
  <c r="E191" i="1"/>
  <c r="D191" i="1"/>
  <c r="C191" i="1"/>
  <c r="B191" i="1"/>
  <c r="H190" i="1"/>
  <c r="G190" i="1"/>
  <c r="F190" i="1"/>
  <c r="E190" i="1"/>
  <c r="D190" i="1"/>
  <c r="C190" i="1"/>
  <c r="B190" i="1"/>
  <c r="H189" i="1"/>
  <c r="G189" i="1"/>
  <c r="F189" i="1"/>
  <c r="E189" i="1"/>
  <c r="D189" i="1"/>
  <c r="C189" i="1"/>
  <c r="B189" i="1"/>
  <c r="H188" i="1"/>
  <c r="G188" i="1"/>
  <c r="F188" i="1"/>
  <c r="E188" i="1"/>
  <c r="D188" i="1"/>
  <c r="C188" i="1"/>
  <c r="B188" i="1"/>
  <c r="H187" i="1"/>
  <c r="G187" i="1"/>
  <c r="F187" i="1"/>
  <c r="E187" i="1"/>
  <c r="D187" i="1"/>
  <c r="C187" i="1"/>
  <c r="B187" i="1"/>
  <c r="H186" i="1"/>
  <c r="G186" i="1"/>
  <c r="F186" i="1"/>
  <c r="E186" i="1"/>
  <c r="D186" i="1"/>
  <c r="C186" i="1"/>
  <c r="B186" i="1"/>
  <c r="H185" i="1"/>
  <c r="G185" i="1"/>
  <c r="F185" i="1"/>
  <c r="E185" i="1"/>
  <c r="D185" i="1"/>
  <c r="C185" i="1"/>
  <c r="B185" i="1"/>
  <c r="H184" i="1"/>
  <c r="G184" i="1"/>
  <c r="F184" i="1"/>
  <c r="E184" i="1"/>
  <c r="D184" i="1"/>
  <c r="C184" i="1"/>
  <c r="B184" i="1"/>
  <c r="H183" i="1"/>
  <c r="G183" i="1"/>
  <c r="F183" i="1"/>
  <c r="E183" i="1"/>
  <c r="D183" i="1"/>
  <c r="C183" i="1"/>
  <c r="B183" i="1"/>
  <c r="H182" i="1"/>
  <c r="G182" i="1"/>
  <c r="F182" i="1"/>
  <c r="E182" i="1"/>
  <c r="D182" i="1"/>
  <c r="C182" i="1"/>
  <c r="B182" i="1"/>
  <c r="H181" i="1"/>
  <c r="G181" i="1"/>
  <c r="F181" i="1"/>
  <c r="E181" i="1"/>
  <c r="D181" i="1"/>
  <c r="C181" i="1"/>
  <c r="B181" i="1"/>
  <c r="H180" i="1"/>
  <c r="G180" i="1"/>
  <c r="F180" i="1"/>
  <c r="E180" i="1"/>
  <c r="D180" i="1"/>
  <c r="C180" i="1"/>
  <c r="B180" i="1"/>
  <c r="H179" i="1"/>
  <c r="G179" i="1"/>
  <c r="F179" i="1"/>
  <c r="E179" i="1"/>
  <c r="D179" i="1"/>
  <c r="C179" i="1"/>
  <c r="B179" i="1"/>
  <c r="H178" i="1"/>
  <c r="G178" i="1"/>
  <c r="F178" i="1"/>
  <c r="E178" i="1"/>
  <c r="D178" i="1"/>
  <c r="C178" i="1"/>
  <c r="B178" i="1"/>
  <c r="H177" i="1"/>
  <c r="G177" i="1"/>
  <c r="F177" i="1"/>
  <c r="E177" i="1"/>
  <c r="D177" i="1"/>
  <c r="C177" i="1"/>
  <c r="B177" i="1"/>
  <c r="H176" i="1"/>
  <c r="G176" i="1"/>
  <c r="F176" i="1"/>
  <c r="E176" i="1"/>
  <c r="D176" i="1"/>
  <c r="C176" i="1"/>
  <c r="B176" i="1"/>
  <c r="H175" i="1"/>
  <c r="G175" i="1"/>
  <c r="F175" i="1"/>
  <c r="E175" i="1"/>
  <c r="D175" i="1"/>
  <c r="C175" i="1"/>
  <c r="B175" i="1"/>
  <c r="H174" i="1"/>
  <c r="G174" i="1"/>
  <c r="F174" i="1"/>
  <c r="E174" i="1"/>
  <c r="D174" i="1"/>
  <c r="C174" i="1"/>
  <c r="B174" i="1"/>
  <c r="H173" i="1"/>
  <c r="G173" i="1"/>
  <c r="F173" i="1"/>
  <c r="E173" i="1"/>
  <c r="D173" i="1"/>
  <c r="C173" i="1"/>
  <c r="B173" i="1"/>
  <c r="H172" i="1"/>
  <c r="G172" i="1"/>
  <c r="F172" i="1"/>
  <c r="E172" i="1"/>
  <c r="D172" i="1"/>
  <c r="C172" i="1"/>
  <c r="B172" i="1"/>
  <c r="H171" i="1"/>
  <c r="G171" i="1"/>
  <c r="F171" i="1"/>
  <c r="E171" i="1"/>
  <c r="D171" i="1"/>
  <c r="C171" i="1"/>
  <c r="B171" i="1"/>
  <c r="H170" i="1"/>
  <c r="G170" i="1"/>
  <c r="F170" i="1"/>
  <c r="E170" i="1"/>
  <c r="D170" i="1"/>
  <c r="C170" i="1"/>
  <c r="B170" i="1"/>
  <c r="H169" i="1"/>
  <c r="G169" i="1"/>
  <c r="F169" i="1"/>
  <c r="E169" i="1"/>
  <c r="D169" i="1"/>
  <c r="C169" i="1"/>
  <c r="B169" i="1"/>
  <c r="H168" i="1"/>
  <c r="G168" i="1"/>
  <c r="F168" i="1"/>
  <c r="E168" i="1"/>
  <c r="D168" i="1"/>
  <c r="C168" i="1"/>
  <c r="B168" i="1"/>
  <c r="H167" i="1"/>
  <c r="G167" i="1"/>
  <c r="F167" i="1"/>
  <c r="E167" i="1"/>
  <c r="D167" i="1"/>
  <c r="C167" i="1"/>
  <c r="B167" i="1"/>
  <c r="H166" i="1"/>
  <c r="G166" i="1"/>
  <c r="F166" i="1"/>
  <c r="E166" i="1"/>
  <c r="D166" i="1"/>
  <c r="C166" i="1"/>
  <c r="B166" i="1"/>
  <c r="H165" i="1"/>
  <c r="G165" i="1"/>
  <c r="F165" i="1"/>
  <c r="E165" i="1"/>
  <c r="D165" i="1"/>
  <c r="C165" i="1"/>
  <c r="B165" i="1"/>
  <c r="H164" i="1"/>
  <c r="G164" i="1"/>
  <c r="F164" i="1"/>
  <c r="E164" i="1"/>
  <c r="D164" i="1"/>
  <c r="C164" i="1"/>
  <c r="B164" i="1"/>
  <c r="H163" i="1"/>
  <c r="G163" i="1"/>
  <c r="F163" i="1"/>
  <c r="E163" i="1"/>
  <c r="D163" i="1"/>
  <c r="C163" i="1"/>
  <c r="B163" i="1"/>
  <c r="H162" i="1"/>
  <c r="G162" i="1"/>
  <c r="F162" i="1"/>
  <c r="E162" i="1"/>
  <c r="D162" i="1"/>
  <c r="C162" i="1"/>
  <c r="B162" i="1"/>
  <c r="H161" i="1"/>
  <c r="G161" i="1"/>
  <c r="F161" i="1"/>
  <c r="E161" i="1"/>
  <c r="D161" i="1"/>
  <c r="C161" i="1"/>
  <c r="B161" i="1"/>
  <c r="H160" i="1"/>
  <c r="G160" i="1"/>
  <c r="F160" i="1"/>
  <c r="E160" i="1"/>
  <c r="D160" i="1"/>
  <c r="C160" i="1"/>
  <c r="B160" i="1"/>
  <c r="H159" i="1"/>
  <c r="G159" i="1"/>
  <c r="F159" i="1"/>
  <c r="E159" i="1"/>
  <c r="D159" i="1"/>
  <c r="C159" i="1"/>
  <c r="B159" i="1"/>
  <c r="H158" i="1"/>
  <c r="G158" i="1"/>
  <c r="F158" i="1"/>
  <c r="E158" i="1"/>
  <c r="D158" i="1"/>
  <c r="C158" i="1"/>
  <c r="B158" i="1"/>
  <c r="H157" i="1"/>
  <c r="G157" i="1"/>
  <c r="F157" i="1"/>
  <c r="E157" i="1"/>
  <c r="D157" i="1"/>
  <c r="C157" i="1"/>
  <c r="B157" i="1"/>
  <c r="H156" i="1"/>
  <c r="G156" i="1"/>
  <c r="F156" i="1"/>
  <c r="E156" i="1"/>
  <c r="D156" i="1"/>
  <c r="C156" i="1"/>
  <c r="B156" i="1"/>
  <c r="H155" i="1"/>
  <c r="G155" i="1"/>
  <c r="F155" i="1"/>
  <c r="E155" i="1"/>
  <c r="D155" i="1"/>
  <c r="C155" i="1"/>
  <c r="B155" i="1"/>
  <c r="H154" i="1"/>
  <c r="G154" i="1"/>
  <c r="F154" i="1"/>
  <c r="E154" i="1"/>
  <c r="D154" i="1"/>
  <c r="C154" i="1"/>
  <c r="B154" i="1"/>
  <c r="H153" i="1"/>
  <c r="G153" i="1"/>
  <c r="F153" i="1"/>
  <c r="E153" i="1"/>
  <c r="D153" i="1"/>
  <c r="C153" i="1"/>
  <c r="B153" i="1"/>
  <c r="H152" i="1"/>
  <c r="G152" i="1"/>
  <c r="F152" i="1"/>
  <c r="E152" i="1"/>
  <c r="D152" i="1"/>
  <c r="C152" i="1"/>
  <c r="B152" i="1"/>
  <c r="H151" i="1"/>
  <c r="G151" i="1"/>
  <c r="F151" i="1"/>
  <c r="E151" i="1"/>
  <c r="D151" i="1"/>
  <c r="C151" i="1"/>
  <c r="B151" i="1"/>
  <c r="H150" i="1"/>
  <c r="G150" i="1"/>
  <c r="F150" i="1"/>
  <c r="E150" i="1"/>
  <c r="D150" i="1"/>
  <c r="C150" i="1"/>
  <c r="B150" i="1"/>
  <c r="H149" i="1"/>
  <c r="G149" i="1"/>
  <c r="F149" i="1"/>
  <c r="E149" i="1"/>
  <c r="D149" i="1"/>
  <c r="C149" i="1"/>
  <c r="B149" i="1"/>
  <c r="H148" i="1"/>
  <c r="G148" i="1"/>
  <c r="F148" i="1"/>
  <c r="E148" i="1"/>
  <c r="D148" i="1"/>
  <c r="C148" i="1"/>
  <c r="B148" i="1"/>
  <c r="H147" i="1"/>
  <c r="G147" i="1"/>
  <c r="F147" i="1"/>
  <c r="E147" i="1"/>
  <c r="D147" i="1"/>
  <c r="C147" i="1"/>
  <c r="B147" i="1"/>
  <c r="H146" i="1"/>
  <c r="G146" i="1"/>
  <c r="F146" i="1"/>
  <c r="E146" i="1"/>
  <c r="D146" i="1"/>
  <c r="C146" i="1"/>
  <c r="B146" i="1"/>
  <c r="H145" i="1"/>
  <c r="G145" i="1"/>
  <c r="F145" i="1"/>
  <c r="E145" i="1"/>
  <c r="D145" i="1"/>
  <c r="C145" i="1"/>
  <c r="B145" i="1"/>
  <c r="H144" i="1"/>
  <c r="G144" i="1"/>
  <c r="F144" i="1"/>
  <c r="E144" i="1"/>
  <c r="D144" i="1"/>
  <c r="C144" i="1"/>
  <c r="B144" i="1"/>
  <c r="H143" i="1"/>
  <c r="G143" i="1"/>
  <c r="F143" i="1"/>
  <c r="E143" i="1"/>
  <c r="D143" i="1"/>
  <c r="C143" i="1"/>
  <c r="B143" i="1"/>
  <c r="H142" i="1"/>
  <c r="G142" i="1"/>
  <c r="F142" i="1"/>
  <c r="E142" i="1"/>
  <c r="D142" i="1"/>
  <c r="C142" i="1"/>
  <c r="B142" i="1"/>
  <c r="H141" i="1"/>
  <c r="G141" i="1"/>
  <c r="F141" i="1"/>
  <c r="E141" i="1"/>
  <c r="D141" i="1"/>
  <c r="C141" i="1"/>
  <c r="B141" i="1"/>
  <c r="H140" i="1"/>
  <c r="G140" i="1"/>
  <c r="F140" i="1"/>
  <c r="E140" i="1"/>
  <c r="D140" i="1"/>
  <c r="C140" i="1"/>
  <c r="B140" i="1"/>
  <c r="H139" i="1"/>
  <c r="G139" i="1"/>
  <c r="F139" i="1"/>
  <c r="E139" i="1"/>
  <c r="D139" i="1"/>
  <c r="C139" i="1"/>
  <c r="B139" i="1"/>
  <c r="H138" i="1"/>
  <c r="G138" i="1"/>
  <c r="F138" i="1"/>
  <c r="E138" i="1"/>
  <c r="D138" i="1"/>
  <c r="C138" i="1"/>
  <c r="B138" i="1"/>
  <c r="H137" i="1"/>
  <c r="G137" i="1"/>
  <c r="F137" i="1"/>
  <c r="E137" i="1"/>
  <c r="D137" i="1"/>
  <c r="C137" i="1"/>
  <c r="B137" i="1"/>
  <c r="H136" i="1"/>
  <c r="G136" i="1"/>
  <c r="F136" i="1"/>
  <c r="E136" i="1"/>
  <c r="D136" i="1"/>
  <c r="C136" i="1"/>
  <c r="B136" i="1"/>
  <c r="H135" i="1"/>
  <c r="G135" i="1"/>
  <c r="F135" i="1"/>
  <c r="E135" i="1"/>
  <c r="D135" i="1"/>
  <c r="C135" i="1"/>
  <c r="B135" i="1"/>
  <c r="H134" i="1"/>
  <c r="G134" i="1"/>
  <c r="F134" i="1"/>
  <c r="E134" i="1"/>
  <c r="D134" i="1"/>
  <c r="C134" i="1"/>
  <c r="B134" i="1"/>
  <c r="H133" i="1"/>
  <c r="G133" i="1"/>
  <c r="F133" i="1"/>
  <c r="E133" i="1"/>
  <c r="D133" i="1"/>
  <c r="C133" i="1"/>
  <c r="B133" i="1"/>
  <c r="H132" i="1"/>
  <c r="G132" i="1"/>
  <c r="F132" i="1"/>
  <c r="E132" i="1"/>
  <c r="D132" i="1"/>
  <c r="C132" i="1"/>
  <c r="B132" i="1"/>
  <c r="H131" i="1"/>
  <c r="G131" i="1"/>
  <c r="F131" i="1"/>
  <c r="E131" i="1"/>
  <c r="D131" i="1"/>
  <c r="C131" i="1"/>
  <c r="B131" i="1"/>
  <c r="H130" i="1"/>
  <c r="G130" i="1"/>
  <c r="F130" i="1"/>
  <c r="E130" i="1"/>
  <c r="D130" i="1"/>
  <c r="C130" i="1"/>
  <c r="B130" i="1"/>
  <c r="H129" i="1"/>
  <c r="G129" i="1"/>
  <c r="F129" i="1"/>
  <c r="E129" i="1"/>
  <c r="D129" i="1"/>
  <c r="C129" i="1"/>
  <c r="B129" i="1"/>
  <c r="H128" i="1"/>
  <c r="G128" i="1"/>
  <c r="F128" i="1"/>
  <c r="E128" i="1"/>
  <c r="D128" i="1"/>
  <c r="C128" i="1"/>
  <c r="B128" i="1"/>
  <c r="H127" i="1"/>
  <c r="G127" i="1"/>
  <c r="F127" i="1"/>
  <c r="E127" i="1"/>
  <c r="D127" i="1"/>
  <c r="C127" i="1"/>
  <c r="B127" i="1"/>
  <c r="H126" i="1"/>
  <c r="G126" i="1"/>
  <c r="F126" i="1"/>
  <c r="E126" i="1"/>
  <c r="D126" i="1"/>
  <c r="C126" i="1"/>
  <c r="B126" i="1"/>
  <c r="H125" i="1"/>
  <c r="G125" i="1"/>
  <c r="F125" i="1"/>
  <c r="E125" i="1"/>
  <c r="D125" i="1"/>
  <c r="C125" i="1"/>
  <c r="B125" i="1"/>
  <c r="H124" i="1"/>
  <c r="G124" i="1"/>
  <c r="F124" i="1"/>
  <c r="E124" i="1"/>
  <c r="D124" i="1"/>
  <c r="C124" i="1"/>
  <c r="B124" i="1"/>
  <c r="H123" i="1"/>
  <c r="G123" i="1"/>
  <c r="F123" i="1"/>
  <c r="E123" i="1"/>
  <c r="D123" i="1"/>
  <c r="C123" i="1"/>
  <c r="B123" i="1"/>
  <c r="H122" i="1"/>
  <c r="G122" i="1"/>
  <c r="F122" i="1"/>
  <c r="E122" i="1"/>
  <c r="D122" i="1"/>
  <c r="C122" i="1"/>
  <c r="B122" i="1"/>
  <c r="H121" i="1"/>
  <c r="G121" i="1"/>
  <c r="F121" i="1"/>
  <c r="E121" i="1"/>
  <c r="D121" i="1"/>
  <c r="C121" i="1"/>
  <c r="B121" i="1"/>
  <c r="H120" i="1"/>
  <c r="G120" i="1"/>
  <c r="F120" i="1"/>
  <c r="E120" i="1"/>
  <c r="D120" i="1"/>
  <c r="C120" i="1"/>
  <c r="B120" i="1"/>
  <c r="H119" i="1"/>
  <c r="G119" i="1"/>
  <c r="F119" i="1"/>
  <c r="E119" i="1"/>
  <c r="D119" i="1"/>
  <c r="C119" i="1"/>
  <c r="B119" i="1"/>
  <c r="H118" i="1"/>
  <c r="G118" i="1"/>
  <c r="F118" i="1"/>
  <c r="E118" i="1"/>
  <c r="D118" i="1"/>
  <c r="C118" i="1"/>
  <c r="B118" i="1"/>
  <c r="H117" i="1"/>
  <c r="G117" i="1"/>
  <c r="F117" i="1"/>
  <c r="E117" i="1"/>
  <c r="D117" i="1"/>
  <c r="C117" i="1"/>
  <c r="B117" i="1"/>
  <c r="H116" i="1"/>
  <c r="G116" i="1"/>
  <c r="F116" i="1"/>
  <c r="E116" i="1"/>
  <c r="D116" i="1"/>
  <c r="C116" i="1"/>
  <c r="B116" i="1"/>
  <c r="H115" i="1"/>
  <c r="G115" i="1"/>
  <c r="F115" i="1"/>
  <c r="E115" i="1"/>
  <c r="D115" i="1"/>
  <c r="C115" i="1"/>
  <c r="B115" i="1"/>
  <c r="H114" i="1"/>
  <c r="G114" i="1"/>
  <c r="F114" i="1"/>
  <c r="E114" i="1"/>
  <c r="D114" i="1"/>
  <c r="C114" i="1"/>
  <c r="B114" i="1"/>
  <c r="H113" i="1"/>
  <c r="G113" i="1"/>
  <c r="F113" i="1"/>
  <c r="E113" i="1"/>
  <c r="D113" i="1"/>
  <c r="C113" i="1"/>
  <c r="B113" i="1"/>
  <c r="H112" i="1"/>
  <c r="G112" i="1"/>
  <c r="F112" i="1"/>
  <c r="E112" i="1"/>
  <c r="D112" i="1"/>
  <c r="C112" i="1"/>
  <c r="B112" i="1"/>
  <c r="H111" i="1"/>
  <c r="G111" i="1"/>
  <c r="F111" i="1"/>
  <c r="E111" i="1"/>
  <c r="D111" i="1"/>
  <c r="C111" i="1"/>
  <c r="B111" i="1"/>
  <c r="H110" i="1"/>
  <c r="G110" i="1"/>
  <c r="F110" i="1"/>
  <c r="E110" i="1"/>
  <c r="D110" i="1"/>
  <c r="C110" i="1"/>
  <c r="B110" i="1"/>
  <c r="H109" i="1"/>
  <c r="G109" i="1"/>
  <c r="F109" i="1"/>
  <c r="E109" i="1"/>
  <c r="D109" i="1"/>
  <c r="C109" i="1"/>
  <c r="B109" i="1"/>
  <c r="H108" i="1"/>
  <c r="G108" i="1"/>
  <c r="F108" i="1"/>
  <c r="E108" i="1"/>
  <c r="D108" i="1"/>
  <c r="C108" i="1"/>
  <c r="B108" i="1"/>
  <c r="H107" i="1"/>
  <c r="G107" i="1"/>
  <c r="F107" i="1"/>
  <c r="E107" i="1"/>
  <c r="D107" i="1"/>
  <c r="C107" i="1"/>
  <c r="B107" i="1"/>
  <c r="H106" i="1"/>
  <c r="G106" i="1"/>
  <c r="F106" i="1"/>
  <c r="E106" i="1"/>
  <c r="D106" i="1"/>
  <c r="C106" i="1"/>
  <c r="B106" i="1"/>
  <c r="H105" i="1"/>
  <c r="G105" i="1"/>
  <c r="F105" i="1"/>
  <c r="E105" i="1"/>
  <c r="D105" i="1"/>
  <c r="C105" i="1"/>
  <c r="B105" i="1"/>
  <c r="H104" i="1"/>
  <c r="G104" i="1"/>
  <c r="F104" i="1"/>
  <c r="E104" i="1"/>
  <c r="D104" i="1"/>
  <c r="C104" i="1"/>
  <c r="B104" i="1"/>
  <c r="H103" i="1"/>
  <c r="G103" i="1"/>
  <c r="F103" i="1"/>
  <c r="E103" i="1"/>
  <c r="D103" i="1"/>
  <c r="C103" i="1"/>
  <c r="B103" i="1"/>
  <c r="H102" i="1"/>
  <c r="G102" i="1"/>
  <c r="F102" i="1"/>
  <c r="E102" i="1"/>
  <c r="D102" i="1"/>
  <c r="C102" i="1"/>
  <c r="B102" i="1"/>
  <c r="H101" i="1"/>
  <c r="G101" i="1"/>
  <c r="F101" i="1"/>
  <c r="E101" i="1"/>
  <c r="D101" i="1"/>
  <c r="C101" i="1"/>
  <c r="B101" i="1"/>
  <c r="H100" i="1"/>
  <c r="G100" i="1"/>
  <c r="F100" i="1"/>
  <c r="E100" i="1"/>
  <c r="D100" i="1"/>
  <c r="C100" i="1"/>
  <c r="B100" i="1"/>
  <c r="H99" i="1"/>
  <c r="G99" i="1"/>
  <c r="F99" i="1"/>
  <c r="E99" i="1"/>
  <c r="D99" i="1"/>
  <c r="C99" i="1"/>
  <c r="B99" i="1"/>
  <c r="H98" i="1"/>
  <c r="G98" i="1"/>
  <c r="F98" i="1"/>
  <c r="E98" i="1"/>
  <c r="D98" i="1"/>
  <c r="C98" i="1"/>
  <c r="B98" i="1"/>
  <c r="H97" i="1"/>
  <c r="G97" i="1"/>
  <c r="F97" i="1"/>
  <c r="E97" i="1"/>
  <c r="D97" i="1"/>
  <c r="C97" i="1"/>
  <c r="B97" i="1"/>
  <c r="H96" i="1"/>
  <c r="G96" i="1"/>
  <c r="F96" i="1"/>
  <c r="E96" i="1"/>
  <c r="D96" i="1"/>
  <c r="C96" i="1"/>
  <c r="B96" i="1"/>
  <c r="H95" i="1"/>
  <c r="G95" i="1"/>
  <c r="F95" i="1"/>
  <c r="E95" i="1"/>
  <c r="D95" i="1"/>
  <c r="C95" i="1"/>
  <c r="B95" i="1"/>
  <c r="H94" i="1"/>
  <c r="G94" i="1"/>
  <c r="F94" i="1"/>
  <c r="E94" i="1"/>
  <c r="D94" i="1"/>
  <c r="C94" i="1"/>
  <c r="B94" i="1"/>
  <c r="H93" i="1"/>
  <c r="G93" i="1"/>
  <c r="F93" i="1"/>
  <c r="E93" i="1"/>
  <c r="D93" i="1"/>
  <c r="C93" i="1"/>
  <c r="B93" i="1"/>
  <c r="H92" i="1"/>
  <c r="G92" i="1"/>
  <c r="F92" i="1"/>
  <c r="E92" i="1"/>
  <c r="D92" i="1"/>
  <c r="C92" i="1"/>
  <c r="B92" i="1"/>
  <c r="H91" i="1"/>
  <c r="G91" i="1"/>
  <c r="F91" i="1"/>
  <c r="E91" i="1"/>
  <c r="D91" i="1"/>
  <c r="C91" i="1"/>
  <c r="B91" i="1"/>
  <c r="H90" i="1"/>
  <c r="G90" i="1"/>
  <c r="F90" i="1"/>
  <c r="E90" i="1"/>
  <c r="D90" i="1"/>
  <c r="C90" i="1"/>
  <c r="B90" i="1"/>
  <c r="H89" i="1"/>
  <c r="G89" i="1"/>
  <c r="F89" i="1"/>
  <c r="E89" i="1"/>
  <c r="D89" i="1"/>
  <c r="C89" i="1"/>
  <c r="B89" i="1"/>
  <c r="H88" i="1"/>
  <c r="G88" i="1"/>
  <c r="F88" i="1"/>
  <c r="E88" i="1"/>
  <c r="D88" i="1"/>
  <c r="C88" i="1"/>
  <c r="B88" i="1"/>
  <c r="H87" i="1"/>
  <c r="G87" i="1"/>
  <c r="F87" i="1"/>
  <c r="E87" i="1"/>
  <c r="D87" i="1"/>
  <c r="C87" i="1"/>
  <c r="B87" i="1"/>
  <c r="H86" i="1"/>
  <c r="G86" i="1"/>
  <c r="F86" i="1"/>
  <c r="E86" i="1"/>
  <c r="D86" i="1"/>
  <c r="C86" i="1"/>
  <c r="B86" i="1"/>
  <c r="H85" i="1"/>
  <c r="G85" i="1"/>
  <c r="F85" i="1"/>
  <c r="E85" i="1"/>
  <c r="D85" i="1"/>
  <c r="C85" i="1"/>
  <c r="B85" i="1"/>
  <c r="H84" i="1"/>
  <c r="G84" i="1"/>
  <c r="F84" i="1"/>
  <c r="E84" i="1"/>
  <c r="D84" i="1"/>
  <c r="C84" i="1"/>
  <c r="B84" i="1"/>
  <c r="H83" i="1"/>
  <c r="G83" i="1"/>
  <c r="F83" i="1"/>
  <c r="E83" i="1"/>
  <c r="D83" i="1"/>
  <c r="C83" i="1"/>
  <c r="B83" i="1"/>
  <c r="H82" i="1"/>
  <c r="G82" i="1"/>
  <c r="F82" i="1"/>
  <c r="E82" i="1"/>
  <c r="D82" i="1"/>
  <c r="C82" i="1"/>
  <c r="B82" i="1"/>
  <c r="H81" i="1"/>
  <c r="G81" i="1"/>
  <c r="F81" i="1"/>
  <c r="E81" i="1"/>
  <c r="D81" i="1"/>
  <c r="C81" i="1"/>
  <c r="B81" i="1"/>
  <c r="H80" i="1"/>
  <c r="G80" i="1"/>
  <c r="F80" i="1"/>
  <c r="E80" i="1"/>
  <c r="D80" i="1"/>
  <c r="C80" i="1"/>
  <c r="B80" i="1"/>
  <c r="H79" i="1"/>
  <c r="G79" i="1"/>
  <c r="F79" i="1"/>
  <c r="E79" i="1"/>
  <c r="D79" i="1"/>
  <c r="C79" i="1"/>
  <c r="B79" i="1"/>
  <c r="H78" i="1"/>
  <c r="G78" i="1"/>
  <c r="F78" i="1"/>
  <c r="E78" i="1"/>
  <c r="D78" i="1"/>
  <c r="C78" i="1"/>
  <c r="B78" i="1"/>
  <c r="H77" i="1"/>
  <c r="G77" i="1"/>
  <c r="F77" i="1"/>
  <c r="E77" i="1"/>
  <c r="D77" i="1"/>
  <c r="C77" i="1"/>
  <c r="B77" i="1"/>
  <c r="H76" i="1"/>
  <c r="G76" i="1"/>
  <c r="F76" i="1"/>
  <c r="E76" i="1"/>
  <c r="D76" i="1"/>
  <c r="C76" i="1"/>
  <c r="B76" i="1"/>
  <c r="H75" i="1"/>
  <c r="G75" i="1"/>
  <c r="F75" i="1"/>
  <c r="E75" i="1"/>
  <c r="D75" i="1"/>
  <c r="C75" i="1"/>
  <c r="B75" i="1"/>
  <c r="H74" i="1"/>
  <c r="G74" i="1"/>
  <c r="F74" i="1"/>
  <c r="E74" i="1"/>
  <c r="D74" i="1"/>
  <c r="C74" i="1"/>
  <c r="B74" i="1"/>
  <c r="H73" i="1"/>
  <c r="G73" i="1"/>
  <c r="F73" i="1"/>
  <c r="E73" i="1"/>
  <c r="D73" i="1"/>
  <c r="C73" i="1"/>
  <c r="B73" i="1"/>
  <c r="H72" i="1"/>
  <c r="G72" i="1"/>
  <c r="F72" i="1"/>
  <c r="E72" i="1"/>
  <c r="D72" i="1"/>
  <c r="C72" i="1"/>
  <c r="B72" i="1"/>
  <c r="H71" i="1"/>
  <c r="G71" i="1"/>
  <c r="F71" i="1"/>
  <c r="E71" i="1"/>
  <c r="D71" i="1"/>
  <c r="C71" i="1"/>
  <c r="B71" i="1"/>
  <c r="H70" i="1"/>
  <c r="G70" i="1"/>
  <c r="F70" i="1"/>
  <c r="E70" i="1"/>
  <c r="D70" i="1"/>
  <c r="C70" i="1"/>
  <c r="B70" i="1"/>
  <c r="H69" i="1"/>
  <c r="G69" i="1"/>
  <c r="F69" i="1"/>
  <c r="E69" i="1"/>
  <c r="D69" i="1"/>
  <c r="C69" i="1"/>
  <c r="B69" i="1"/>
  <c r="H68" i="1"/>
  <c r="G68" i="1"/>
  <c r="F68" i="1"/>
  <c r="E68" i="1"/>
  <c r="D68" i="1"/>
  <c r="C68" i="1"/>
  <c r="B68" i="1"/>
  <c r="H67" i="1"/>
  <c r="G67" i="1"/>
  <c r="F67" i="1"/>
  <c r="E67" i="1"/>
  <c r="D67" i="1"/>
  <c r="C67" i="1"/>
  <c r="B67" i="1"/>
  <c r="H66" i="1"/>
  <c r="G66" i="1"/>
  <c r="F66" i="1"/>
  <c r="E66" i="1"/>
  <c r="D66" i="1"/>
  <c r="C66" i="1"/>
  <c r="B66" i="1"/>
  <c r="H65" i="1"/>
  <c r="G65" i="1"/>
  <c r="F65" i="1"/>
  <c r="E65" i="1"/>
  <c r="D65" i="1"/>
  <c r="C65" i="1"/>
  <c r="B65" i="1"/>
  <c r="H64" i="1"/>
  <c r="G64" i="1"/>
  <c r="F64" i="1"/>
  <c r="E64" i="1"/>
  <c r="D64" i="1"/>
  <c r="C64" i="1"/>
  <c r="B64" i="1"/>
  <c r="H63" i="1"/>
  <c r="G63" i="1"/>
  <c r="F63" i="1"/>
  <c r="E63" i="1"/>
  <c r="D63" i="1"/>
  <c r="C63" i="1"/>
  <c r="B63" i="1"/>
  <c r="H62" i="1"/>
  <c r="G62" i="1"/>
  <c r="F62" i="1"/>
  <c r="E62" i="1"/>
  <c r="D62" i="1"/>
  <c r="C62" i="1"/>
  <c r="B62" i="1"/>
  <c r="H61" i="1"/>
  <c r="G61" i="1"/>
  <c r="F61" i="1"/>
  <c r="E61" i="1"/>
  <c r="D61" i="1"/>
  <c r="C61" i="1"/>
  <c r="B61" i="1"/>
  <c r="H60" i="1"/>
  <c r="G60" i="1"/>
  <c r="F60" i="1"/>
  <c r="E60" i="1"/>
  <c r="D60" i="1"/>
  <c r="C60" i="1"/>
  <c r="B60" i="1"/>
  <c r="H59" i="1"/>
  <c r="G59" i="1"/>
  <c r="F59" i="1"/>
  <c r="E59" i="1"/>
  <c r="D59" i="1"/>
  <c r="C59" i="1"/>
  <c r="B59" i="1"/>
  <c r="H58" i="1"/>
  <c r="G58" i="1"/>
  <c r="F58" i="1"/>
  <c r="E58" i="1"/>
  <c r="D58" i="1"/>
  <c r="C58" i="1"/>
  <c r="B58" i="1"/>
  <c r="H57" i="1"/>
  <c r="G57" i="1"/>
  <c r="F57" i="1"/>
  <c r="E57" i="1"/>
  <c r="D57" i="1"/>
  <c r="C57" i="1"/>
  <c r="B57" i="1"/>
  <c r="H56" i="1"/>
  <c r="G56" i="1"/>
  <c r="F56" i="1"/>
  <c r="E56" i="1"/>
  <c r="D56" i="1"/>
  <c r="C56" i="1"/>
  <c r="B56" i="1"/>
  <c r="H55" i="1"/>
  <c r="G55" i="1"/>
  <c r="F55" i="1"/>
  <c r="E55" i="1"/>
  <c r="D55" i="1"/>
  <c r="C55" i="1"/>
  <c r="B55" i="1"/>
  <c r="H54" i="1"/>
  <c r="G54" i="1"/>
  <c r="F54" i="1"/>
  <c r="E54" i="1"/>
  <c r="D54" i="1"/>
  <c r="C54" i="1"/>
  <c r="B54" i="1"/>
  <c r="H53" i="1"/>
  <c r="G53" i="1"/>
  <c r="F53" i="1"/>
  <c r="E53" i="1"/>
  <c r="D53" i="1"/>
  <c r="C53" i="1"/>
  <c r="B53" i="1"/>
  <c r="H52" i="1"/>
  <c r="G52" i="1"/>
  <c r="F52" i="1"/>
  <c r="E52" i="1"/>
  <c r="D52" i="1"/>
  <c r="C52" i="1"/>
  <c r="B52" i="1"/>
  <c r="H51" i="1"/>
  <c r="G51" i="1"/>
  <c r="F51" i="1"/>
  <c r="E51" i="1"/>
  <c r="D51" i="1"/>
  <c r="C51" i="1"/>
  <c r="B51" i="1"/>
  <c r="H50" i="1"/>
  <c r="G50" i="1"/>
  <c r="F50" i="1"/>
  <c r="E50" i="1"/>
  <c r="D50" i="1"/>
  <c r="C50" i="1"/>
  <c r="B50" i="1"/>
  <c r="H49" i="1"/>
  <c r="G49" i="1"/>
  <c r="F49" i="1"/>
  <c r="E49" i="1"/>
  <c r="D49" i="1"/>
  <c r="C49" i="1"/>
  <c r="B49" i="1"/>
  <c r="H48" i="1"/>
  <c r="G48" i="1"/>
  <c r="F48" i="1"/>
  <c r="E48" i="1"/>
  <c r="D48" i="1"/>
  <c r="C48" i="1"/>
  <c r="B48" i="1"/>
  <c r="H47" i="1"/>
  <c r="G47" i="1"/>
  <c r="F47" i="1"/>
  <c r="E47" i="1"/>
  <c r="D47" i="1"/>
  <c r="C47" i="1"/>
  <c r="B47" i="1"/>
  <c r="H46" i="1"/>
  <c r="G46" i="1"/>
  <c r="F46" i="1"/>
  <c r="E46" i="1"/>
  <c r="D46" i="1"/>
  <c r="C46" i="1"/>
  <c r="B46" i="1"/>
  <c r="H45" i="1"/>
  <c r="G45" i="1"/>
  <c r="F45" i="1"/>
  <c r="E45" i="1"/>
  <c r="D45" i="1"/>
  <c r="C45" i="1"/>
  <c r="B45" i="1"/>
  <c r="H44" i="1"/>
  <c r="G44" i="1"/>
  <c r="F44" i="1"/>
  <c r="E44" i="1"/>
  <c r="D44" i="1"/>
  <c r="C44" i="1"/>
  <c r="B44" i="1"/>
  <c r="H43" i="1"/>
  <c r="G43" i="1"/>
  <c r="F43" i="1"/>
  <c r="E43" i="1"/>
  <c r="D43" i="1"/>
  <c r="C43" i="1"/>
  <c r="B43" i="1"/>
  <c r="H42" i="1"/>
  <c r="G42" i="1"/>
  <c r="F42" i="1"/>
  <c r="E42" i="1"/>
  <c r="D42" i="1"/>
  <c r="C42" i="1"/>
  <c r="B42" i="1"/>
  <c r="H41" i="1"/>
  <c r="G41" i="1"/>
  <c r="F41" i="1"/>
  <c r="E41" i="1"/>
  <c r="D41" i="1"/>
  <c r="C41" i="1"/>
  <c r="B41" i="1"/>
  <c r="H40" i="1"/>
  <c r="G40" i="1"/>
  <c r="F40" i="1"/>
  <c r="E40" i="1"/>
  <c r="D40" i="1"/>
  <c r="C40" i="1"/>
  <c r="B40" i="1"/>
  <c r="H39" i="1"/>
  <c r="G39" i="1"/>
  <c r="F39" i="1"/>
  <c r="E39" i="1"/>
  <c r="D39" i="1"/>
  <c r="C39" i="1"/>
  <c r="B39" i="1"/>
  <c r="H38" i="1"/>
  <c r="G38" i="1"/>
  <c r="F38" i="1"/>
  <c r="E38" i="1"/>
  <c r="D38" i="1"/>
  <c r="C38" i="1"/>
  <c r="B38" i="1"/>
  <c r="H37" i="1"/>
  <c r="G37" i="1"/>
  <c r="F37" i="1"/>
  <c r="E37" i="1"/>
  <c r="D37" i="1"/>
  <c r="C37" i="1"/>
  <c r="B37" i="1"/>
  <c r="H36" i="1"/>
  <c r="G36" i="1"/>
  <c r="F36" i="1"/>
  <c r="E36" i="1"/>
  <c r="D36" i="1"/>
  <c r="C36" i="1"/>
  <c r="B36" i="1"/>
  <c r="H35" i="1"/>
  <c r="G35" i="1"/>
  <c r="F35" i="1"/>
  <c r="E35" i="1"/>
  <c r="D35" i="1"/>
  <c r="C35" i="1"/>
  <c r="B35" i="1"/>
  <c r="H34" i="1"/>
  <c r="G34" i="1"/>
  <c r="F34" i="1"/>
  <c r="E34" i="1"/>
  <c r="D34" i="1"/>
  <c r="C34" i="1"/>
  <c r="B34" i="1"/>
  <c r="H33" i="1"/>
  <c r="G33" i="1"/>
  <c r="F33" i="1"/>
  <c r="E33" i="1"/>
  <c r="D33" i="1"/>
  <c r="C33" i="1"/>
  <c r="B33" i="1"/>
  <c r="H32" i="1"/>
  <c r="G32" i="1"/>
  <c r="F32" i="1"/>
  <c r="E32" i="1"/>
  <c r="D32" i="1"/>
  <c r="C32" i="1"/>
  <c r="B32" i="1"/>
  <c r="H31" i="1"/>
  <c r="G31" i="1"/>
  <c r="F31" i="1"/>
  <c r="E31" i="1"/>
  <c r="D31" i="1"/>
  <c r="C31" i="1"/>
  <c r="B31" i="1"/>
  <c r="H30" i="1"/>
  <c r="G30" i="1"/>
  <c r="F30" i="1"/>
  <c r="E30" i="1"/>
  <c r="D30" i="1"/>
  <c r="C30" i="1"/>
  <c r="B30" i="1"/>
  <c r="H29" i="1"/>
  <c r="G29" i="1"/>
  <c r="F29" i="1"/>
  <c r="E29" i="1"/>
  <c r="D29" i="1"/>
  <c r="C29" i="1"/>
  <c r="B29" i="1"/>
  <c r="H28" i="1"/>
  <c r="G28" i="1"/>
  <c r="F28" i="1"/>
  <c r="E28" i="1"/>
  <c r="D28" i="1"/>
  <c r="C28" i="1"/>
  <c r="B28" i="1"/>
  <c r="H27" i="1"/>
  <c r="G27" i="1"/>
  <c r="F27" i="1"/>
  <c r="E27" i="1"/>
  <c r="D27" i="1"/>
  <c r="C27" i="1"/>
  <c r="B27" i="1"/>
  <c r="H26" i="1"/>
  <c r="G26" i="1"/>
  <c r="F26" i="1"/>
  <c r="E26" i="1"/>
  <c r="D26" i="1"/>
  <c r="C26" i="1"/>
  <c r="B26" i="1"/>
  <c r="H25" i="1"/>
  <c r="G25" i="1"/>
  <c r="F25" i="1"/>
  <c r="E25" i="1"/>
  <c r="D25" i="1"/>
  <c r="C25" i="1"/>
  <c r="B25" i="1"/>
  <c r="H24" i="1"/>
  <c r="G24" i="1"/>
  <c r="F24" i="1"/>
  <c r="E24" i="1"/>
  <c r="D24" i="1"/>
  <c r="C24" i="1"/>
  <c r="B24" i="1"/>
  <c r="H23" i="1"/>
  <c r="G23" i="1"/>
  <c r="F23" i="1"/>
  <c r="E23" i="1"/>
  <c r="D23" i="1"/>
  <c r="C23" i="1"/>
  <c r="B23" i="1"/>
  <c r="H22" i="1"/>
  <c r="G22" i="1"/>
  <c r="F22" i="1"/>
  <c r="E22" i="1"/>
  <c r="D22" i="1"/>
  <c r="C22" i="1"/>
  <c r="B22" i="1"/>
  <c r="H21" i="1"/>
  <c r="G21" i="1"/>
  <c r="F21" i="1"/>
  <c r="E21" i="1"/>
  <c r="D21" i="1"/>
  <c r="C21" i="1"/>
  <c r="B21" i="1"/>
  <c r="H20" i="1"/>
  <c r="G20" i="1"/>
  <c r="F20" i="1"/>
  <c r="E20" i="1"/>
  <c r="D20" i="1"/>
  <c r="C20" i="1"/>
  <c r="B20" i="1"/>
  <c r="H19" i="1"/>
  <c r="G19" i="1"/>
  <c r="F19" i="1"/>
  <c r="E19" i="1"/>
  <c r="D19" i="1"/>
  <c r="C19" i="1"/>
  <c r="B19" i="1"/>
  <c r="H18" i="1"/>
  <c r="G18" i="1"/>
  <c r="F18" i="1"/>
  <c r="E18" i="1"/>
  <c r="D18" i="1"/>
  <c r="C18" i="1"/>
  <c r="B18" i="1"/>
  <c r="H17" i="1"/>
  <c r="G17" i="1"/>
  <c r="F17" i="1"/>
  <c r="E17" i="1"/>
  <c r="D17" i="1"/>
  <c r="C17" i="1"/>
  <c r="B17" i="1"/>
  <c r="H16" i="1"/>
  <c r="G16" i="1"/>
  <c r="F16" i="1"/>
  <c r="E16" i="1"/>
  <c r="D16" i="1"/>
  <c r="C16" i="1"/>
  <c r="B16" i="1"/>
  <c r="H15" i="1"/>
  <c r="G15" i="1"/>
  <c r="F15" i="1"/>
  <c r="E15" i="1"/>
  <c r="D15" i="1"/>
  <c r="C15" i="1"/>
  <c r="B15" i="1"/>
  <c r="H14" i="1"/>
  <c r="G14" i="1"/>
  <c r="F14" i="1"/>
  <c r="E14" i="1"/>
  <c r="D14" i="1"/>
  <c r="C14" i="1"/>
  <c r="B14" i="1"/>
  <c r="H13" i="1"/>
  <c r="G13" i="1"/>
  <c r="F13" i="1"/>
  <c r="E13" i="1"/>
  <c r="D13" i="1"/>
  <c r="C13" i="1"/>
  <c r="B13" i="1"/>
  <c r="H12" i="1"/>
  <c r="G12" i="1"/>
  <c r="F12" i="1"/>
  <c r="E12" i="1"/>
  <c r="D12" i="1"/>
  <c r="C12" i="1"/>
  <c r="B12" i="1"/>
  <c r="H11" i="1"/>
  <c r="G11" i="1"/>
  <c r="F11" i="1"/>
  <c r="E11" i="1"/>
  <c r="D11" i="1"/>
  <c r="C11" i="1"/>
  <c r="B11" i="1"/>
  <c r="F6" i="1"/>
  <c r="AA1" i="1"/>
</calcChain>
</file>

<file path=xl/sharedStrings.xml><?xml version="1.0" encoding="utf-8"?>
<sst xmlns="http://schemas.openxmlformats.org/spreadsheetml/2006/main" count="23" uniqueCount="23">
  <si>
    <t>created: 2025-05-13  @ 13:52</t>
  </si>
  <si>
    <t>Version:</t>
  </si>
  <si>
    <t>1</t>
  </si>
  <si>
    <t>From Round:</t>
  </si>
  <si>
    <t>ANGT TOURNAMENT</t>
  </si>
  <si>
    <t>To Round:</t>
  </si>
  <si>
    <t>FINAL FOUR 4</t>
  </si>
  <si>
    <t>ROUND</t>
  </si>
  <si>
    <t>DATE</t>
  </si>
  <si>
    <t>TIME</t>
  </si>
  <si>
    <t>HOME TEAM</t>
  </si>
  <si>
    <t>AWAY TEAM</t>
  </si>
  <si>
    <t>GOW</t>
  </si>
  <si>
    <t>Game/Feed
Selection
(Type 'a')</t>
  </si>
  <si>
    <t>Onsite Commentary
Position</t>
  </si>
  <si>
    <t>Pre-game
Unilateral</t>
  </si>
  <si>
    <t>Post-game
Unilateral</t>
  </si>
  <si>
    <t>ISO Camera
(Final 4 only)</t>
  </si>
  <si>
    <t>Onsite Tape Playout
(Final 4 only)</t>
  </si>
  <si>
    <t>Channel
for live
broadcast</t>
  </si>
  <si>
    <t>Notes</t>
  </si>
  <si>
    <t>LOCAL</t>
  </si>
  <si>
    <t>GMT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</si>
</sst>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dd\,\ dd\ mmm\ \'yy"/>
  </numFmts>
  <fonts count="15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1"/>
      <name val="Marlett"/>
      <charset val="2"/>
    </font>
    <font>
      <b/>
      <u/>
      <sz val="14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u/>
      <sz val="14"/>
      <name val="Aptos Narrow"/>
      <family val="2"/>
      <scheme val="minor"/>
    </font>
    <font>
      <b/>
      <sz val="11"/>
      <name val="Aptos Narrow"/>
      <family val="2"/>
      <scheme val="minor"/>
    </font>
    <font>
      <b/>
      <sz val="9"/>
      <name val="Aptos Narrow"/>
      <family val="2"/>
      <scheme val="minor"/>
    </font>
    <font>
      <b/>
      <sz val="8"/>
      <name val="Aptos Narrow"/>
      <family val="2"/>
      <scheme val="minor"/>
    </font>
    <font>
      <b/>
      <sz val="8"/>
      <color rgb="FFFF0000"/>
      <name val="Aptos Narrow"/>
      <family val="2"/>
      <scheme val="minor"/>
    </font>
    <font>
      <b/>
      <sz val="8"/>
      <color rgb="FFFA5500"/>
      <name val="Aptos Narrow"/>
      <family val="2"/>
      <scheme val="minor"/>
    </font>
    <font>
      <b/>
      <sz val="11"/>
      <color rgb="FFFA550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0" xfId="0" applyFill="1"/>
    <xf numFmtId="164" fontId="0" fillId="2" borderId="0" xfId="0" applyNumberFormat="1" applyFill="1"/>
    <xf numFmtId="20" fontId="0" fillId="2" borderId="0" xfId="0" applyNumberFormat="1" applyFill="1"/>
    <xf numFmtId="0" fontId="3" fillId="2" borderId="0" xfId="0" applyFont="1" applyFill="1" applyAlignment="1">
      <alignment horizontal="center"/>
    </xf>
    <xf numFmtId="0" fontId="3" fillId="2" borderId="0" xfId="0" applyFont="1" applyFill="1"/>
    <xf numFmtId="0" fontId="2" fillId="2" borderId="0" xfId="0" applyFont="1" applyFill="1"/>
    <xf numFmtId="0" fontId="1" fillId="2" borderId="0" xfId="0" applyFont="1" applyFill="1" applyAlignment="1">
      <alignment horizontal="right" vertical="center"/>
    </xf>
    <xf numFmtId="0" fontId="0" fillId="2" borderId="0" xfId="0" applyFill="1" applyAlignment="1">
      <alignment horizontal="left" vertical="center" indent="2"/>
    </xf>
    <xf numFmtId="0" fontId="4" fillId="2" borderId="0" xfId="0" applyFont="1" applyFill="1" applyAlignment="1">
      <alignment horizontal="center"/>
    </xf>
    <xf numFmtId="0" fontId="0" fillId="2" borderId="0" xfId="0" applyFill="1" applyAlignment="1" applyProtection="1">
      <alignment horizontal="left" vertical="center" indent="2"/>
      <protection locked="0"/>
    </xf>
    <xf numFmtId="0" fontId="5" fillId="2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0" fontId="7" fillId="2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3" fillId="2" borderId="1" xfId="0" applyFont="1" applyFill="1" applyBorder="1"/>
    <xf numFmtId="20" fontId="9" fillId="2" borderId="7" xfId="0" applyNumberFormat="1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20" fontId="0" fillId="2" borderId="0" xfId="0" applyNumberFormat="1" applyFill="1" applyAlignment="1">
      <alignment horizontal="center" vertical="center"/>
    </xf>
    <xf numFmtId="0" fontId="4" fillId="2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vertical="center"/>
      <protection locked="0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164" fontId="0" fillId="2" borderId="0" xfId="0" applyNumberFormat="1" applyFill="1" applyProtection="1">
      <protection locked="0"/>
    </xf>
    <xf numFmtId="20" fontId="0" fillId="2" borderId="0" xfId="0" applyNumberFormat="1" applyFill="1" applyProtection="1">
      <protection locked="0"/>
    </xf>
    <xf numFmtId="0" fontId="0" fillId="2" borderId="0" xfId="0" applyFill="1" applyProtection="1">
      <protection locked="0"/>
    </xf>
    <xf numFmtId="164" fontId="0" fillId="0" borderId="0" xfId="0" applyNumberFormat="1"/>
    <xf numFmtId="2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/>
    <xf numFmtId="0" fontId="12" fillId="2" borderId="2" xfId="0" applyFont="1" applyFill="1" applyBorder="1" applyAlignment="1">
      <alignment horizontal="center" vertical="center" wrapText="1"/>
    </xf>
    <xf numFmtId="0" fontId="12" fillId="2" borderId="7" xfId="0" applyFont="1" applyFill="1" applyBorder="1" applyAlignment="1">
      <alignment horizontal="center" vertical="center" wrapText="1"/>
    </xf>
    <xf numFmtId="0" fontId="13" fillId="2" borderId="2" xfId="0" applyFont="1" applyFill="1" applyBorder="1" applyAlignment="1">
      <alignment horizontal="center" vertical="center" wrapText="1"/>
    </xf>
    <xf numFmtId="0" fontId="13" fillId="2" borderId="7" xfId="0" applyFont="1" applyFill="1" applyBorder="1" applyAlignment="1">
      <alignment horizontal="center" vertical="center" wrapText="1"/>
    </xf>
    <xf numFmtId="0" fontId="14" fillId="2" borderId="2" xfId="0" applyFont="1" applyFill="1" applyBorder="1" applyAlignment="1">
      <alignment horizontal="center" vertical="center" wrapText="1"/>
    </xf>
    <xf numFmtId="0" fontId="14" fillId="2" borderId="7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 wrapText="1"/>
    </xf>
    <xf numFmtId="0" fontId="10" fillId="2" borderId="7" xfId="0" applyFont="1" applyFill="1" applyBorder="1" applyAlignment="1">
      <alignment horizontal="center" vertical="center" wrapText="1"/>
    </xf>
    <xf numFmtId="0" fontId="11" fillId="2" borderId="2" xfId="0" applyFont="1" applyFill="1" applyBorder="1" applyAlignment="1">
      <alignment horizontal="center" vertical="center" wrapText="1"/>
    </xf>
    <xf numFmtId="0" fontId="11" fillId="2" borderId="7" xfId="0" applyFont="1" applyFill="1" applyBorder="1" applyAlignment="1">
      <alignment horizontal="center" vertical="center" wrapText="1"/>
    </xf>
    <xf numFmtId="0" fontId="11" fillId="2" borderId="7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/>
    </xf>
    <xf numFmtId="164" fontId="9" fillId="2" borderId="2" xfId="0" applyNumberFormat="1" applyFont="1" applyFill="1" applyBorder="1" applyAlignment="1">
      <alignment horizontal="center" vertical="center"/>
    </xf>
    <xf numFmtId="164" fontId="9" fillId="2" borderId="7" xfId="0" applyNumberFormat="1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0" fontId="9" fillId="2" borderId="8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9" fillId="2" borderId="9" xfId="0" applyFont="1" applyFill="1" applyBorder="1" applyAlignment="1">
      <alignment horizontal="center" vertical="center"/>
    </xf>
  </cellXfs>
  <cellStyles count="1">
    <cellStyle name="Normal" xfId="0" builtinId="0"/>
  </cellStyles>
  <dxfs count="5">
    <dxf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rgb="FFFFFF00"/>
      </font>
      <fill>
        <patternFill>
          <bgColor rgb="FFFA5500"/>
        </patternFill>
      </fill>
    </dxf>
    <dxf>
      <font>
        <b/>
        <i val="0"/>
        <color auto="1"/>
      </font>
      <fill>
        <patternFill patternType="solid">
          <fgColor theme="9" tint="-0.24994659260841701"/>
          <bgColor rgb="FFFFDA65"/>
        </patternFill>
      </fill>
    </dxf>
    <dxf>
      <font>
        <color theme="0"/>
      </font>
      <fill>
        <patternFill>
          <bgColor rgb="FFFA55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112395</xdr:colOff>
      <xdr:row>0</xdr:row>
      <xdr:rowOff>167640</xdr:rowOff>
    </xdr:from>
    <xdr:to>
      <xdr:col>6</xdr:col>
      <xdr:colOff>685799</xdr:colOff>
      <xdr:row>4</xdr:row>
      <xdr:rowOff>35178</xdr:rowOff>
    </xdr:to>
    <xdr:pic>
      <xdr:nvPicPr>
        <xdr:cNvPr id="2" name="Picture 1" descr="https://upload.wikimedia.org/wikipedia/en/f/f9/Turkish_Airlines_EuroLeague.png">
          <a:extLst>
            <a:ext uri="{FF2B5EF4-FFF2-40B4-BE49-F238E27FC236}">
              <a16:creationId xmlns:a16="http://schemas.microsoft.com/office/drawing/2014/main" id="{497B4BA6-5943-4668-9018-E0A6F0511D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13070" y="164465"/>
          <a:ext cx="3821429" cy="5946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1224643</xdr:colOff>
      <xdr:row>1</xdr:row>
      <xdr:rowOff>13607</xdr:rowOff>
    </xdr:from>
    <xdr:to>
      <xdr:col>6</xdr:col>
      <xdr:colOff>2327156</xdr:colOff>
      <xdr:row>4</xdr:row>
      <xdr:rowOff>40730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15F73D8-5D0B-459F-BB21-7494A5CB7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76518" y="191407"/>
          <a:ext cx="1099338" cy="57322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Technical%20Services\EuroLeague\Euroleague%202024-25\Euroleague%20Takers%20and%20Fixtures%202024-202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D IN"/>
      <sheetName val="SCHED OUT"/>
      <sheetName val="Fixtures &amp; Takers"/>
      <sheetName val="Takers info"/>
      <sheetName val="Game Selection Email"/>
      <sheetName val="Game Selection Asia"/>
      <sheetName val="Sat Plan"/>
      <sheetName val="Email lists"/>
      <sheetName val="Prod"/>
      <sheetName val="Sat Plan Email"/>
      <sheetName val="Ch"/>
      <sheetName val="Final Sat Plan"/>
      <sheetName val="Onsite"/>
      <sheetName val="Sat Multi"/>
      <sheetName val="Sat Uni"/>
      <sheetName val="BTT Multi"/>
      <sheetName val="BTT Uni"/>
      <sheetName val="Stream Uni"/>
      <sheetName val="MP Order Note"/>
      <sheetName val="MP Upload"/>
      <sheetName val="Costs"/>
      <sheetName val="Titan"/>
      <sheetName val="DATA"/>
      <sheetName val="Email to Clients"/>
      <sheetName val="Sales (Client)"/>
      <sheetName val="Sales (Month)"/>
      <sheetName val="Contracts"/>
      <sheetName val="DATA Engine"/>
      <sheetName val="Email List (Round)"/>
      <sheetName val="FT Mirror"/>
      <sheetName val="SAT Data"/>
      <sheetName val="TIME"/>
      <sheetName val="Sort"/>
      <sheetName val="Sorting"/>
      <sheetName val="Link with EuroCup"/>
      <sheetName val="BISS"/>
      <sheetName val="Signature"/>
      <sheetName val="Sheet1"/>
    </sheetNames>
    <sheetDataSet>
      <sheetData sheetId="0"/>
      <sheetData sheetId="1"/>
      <sheetData sheetId="2">
        <row r="1">
          <cell r="A1" t="str">
            <v>EUROLEAGUE BASKETBALL   2024-2025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2">
          <cell r="J2" t="str">
            <v>TBC</v>
          </cell>
          <cell r="W2">
            <v>368</v>
          </cell>
          <cell r="Z2" t="str">
            <v>TBC</v>
          </cell>
          <cell r="AB2">
            <v>1</v>
          </cell>
          <cell r="AJ2" t="str">
            <v>TBC</v>
          </cell>
          <cell r="AZ2" t="str">
            <v>TBC</v>
          </cell>
          <cell r="BK2" t="str">
            <v>TBC</v>
          </cell>
          <cell r="CO2" t="str">
            <v>TBC</v>
          </cell>
        </row>
        <row r="3">
          <cell r="A3" t="str">
            <v>TBC</v>
          </cell>
          <cell r="B3" t="str">
            <v>TBC</v>
          </cell>
          <cell r="C3" t="str">
            <v>TBC</v>
          </cell>
          <cell r="D3" t="str">
            <v>PQC - 1</v>
          </cell>
          <cell r="I3" t="str">
            <v>TBC</v>
          </cell>
          <cell r="J3" t="str">
            <v>October</v>
          </cell>
          <cell r="P3">
            <v>0</v>
          </cell>
          <cell r="V3" t="str">
            <v>TBC</v>
          </cell>
          <cell r="W3">
            <v>369</v>
          </cell>
          <cell r="Z3" t="str">
            <v>N/A</v>
          </cell>
          <cell r="AE3" t="str">
            <v>TBC</v>
          </cell>
          <cell r="AJ3" t="str">
            <v>N/A</v>
          </cell>
          <cell r="AK3" t="str">
            <v>N/A</v>
          </cell>
          <cell r="AM3">
            <v>0</v>
          </cell>
          <cell r="AN3" t="str">
            <v>N/A</v>
          </cell>
          <cell r="AQ3" t="str">
            <v>N/A</v>
          </cell>
          <cell r="AU3" t="str">
            <v>TBC</v>
          </cell>
          <cell r="AV3" t="str">
            <v>TBC</v>
          </cell>
          <cell r="AW3" t="str">
            <v>TBC</v>
          </cell>
          <cell r="AX3" t="str">
            <v>TBC</v>
          </cell>
          <cell r="AY3" t="str">
            <v>TBC</v>
          </cell>
          <cell r="AZ3" t="str">
            <v>All</v>
          </cell>
          <cell r="BB3">
            <v>1</v>
          </cell>
          <cell r="BC3" t="str">
            <v>Euro</v>
          </cell>
          <cell r="BE3" t="str">
            <v>TBC</v>
          </cell>
          <cell r="BK3" t="str">
            <v>Macros</v>
          </cell>
          <cell r="BS3" t="str">
            <v>ESPN, USA</v>
          </cell>
          <cell r="CO3" t="str">
            <v>N/A</v>
          </cell>
          <cell r="CX3" t="str">
            <v>Fanduel, LA America</v>
          </cell>
        </row>
        <row r="4">
          <cell r="A4" t="str">
            <v>**GAME CANCELLED**</v>
          </cell>
          <cell r="B4" t="str">
            <v>GOW Onsite</v>
          </cell>
          <cell r="C4" t="str">
            <v>On-site</v>
          </cell>
          <cell r="D4" t="str">
            <v>LG 2 -1</v>
          </cell>
          <cell r="I4" t="str">
            <v>FULL</v>
          </cell>
          <cell r="J4" t="str">
            <v>November</v>
          </cell>
          <cell r="P4" t="str">
            <v>1</v>
          </cell>
          <cell r="V4" t="str">
            <v>EUR</v>
          </cell>
          <cell r="W4">
            <v>370</v>
          </cell>
          <cell r="Z4" t="str">
            <v>ON1</v>
          </cell>
          <cell r="AB4" t="str">
            <v>TBC</v>
          </cell>
          <cell r="AE4" t="str">
            <v>N/A</v>
          </cell>
          <cell r="AJ4" t="str">
            <v>IMG to Sky 02</v>
          </cell>
          <cell r="AK4" t="str">
            <v>TBC</v>
          </cell>
          <cell r="AM4">
            <v>0</v>
          </cell>
          <cell r="AN4" t="str">
            <v>TBC</v>
          </cell>
          <cell r="AQ4" t="str">
            <v>TBC</v>
          </cell>
          <cell r="AU4" t="str">
            <v>N/A</v>
          </cell>
          <cell r="AV4" t="str">
            <v>N/A</v>
          </cell>
          <cell r="AW4" t="str">
            <v>N/A</v>
          </cell>
          <cell r="AX4" t="str">
            <v>N/A</v>
          </cell>
          <cell r="AY4" t="str">
            <v>Fibre</v>
          </cell>
          <cell r="AZ4" t="str">
            <v>SES</v>
          </cell>
          <cell r="BB4">
            <v>2</v>
          </cell>
          <cell r="BC4" t="str">
            <v>Asia</v>
          </cell>
          <cell r="BE4" t="str">
            <v>N/A</v>
          </cell>
          <cell r="BK4" t="str">
            <v>No-Macros</v>
          </cell>
          <cell r="BS4" t="str">
            <v>ESPN, China</v>
          </cell>
          <cell r="CO4" t="str">
            <v>CING 1012</v>
          </cell>
          <cell r="CX4" t="str">
            <v>TVMonaco, Monaco</v>
          </cell>
        </row>
        <row r="5">
          <cell r="A5" t="str">
            <v>Comm 104</v>
          </cell>
          <cell r="B5" t="str">
            <v>Onsite</v>
          </cell>
          <cell r="C5" t="str">
            <v>Gary Moore</v>
          </cell>
          <cell r="D5" t="str">
            <v>LG 3 - 1</v>
          </cell>
          <cell r="I5" t="str">
            <v>PAR</v>
          </cell>
          <cell r="J5" t="str">
            <v>December</v>
          </cell>
          <cell r="P5" t="str">
            <v>2</v>
          </cell>
          <cell r="V5" t="str">
            <v>USD</v>
          </cell>
          <cell r="W5">
            <v>371</v>
          </cell>
          <cell r="Z5" t="str">
            <v>ON2</v>
          </cell>
          <cell r="AB5" t="str">
            <v>N/A</v>
          </cell>
          <cell r="AE5" t="str">
            <v>Euro</v>
          </cell>
          <cell r="AJ5" t="str">
            <v>IMG to Sky 04</v>
          </cell>
          <cell r="AK5" t="str">
            <v>Euro (EBU lease) EBU 01</v>
          </cell>
          <cell r="AM5">
            <v>190</v>
          </cell>
          <cell r="AN5" t="str">
            <v>Asia (EBU lease 1) EBU 03</v>
          </cell>
          <cell r="AQ5" t="str">
            <v>Amer (EBU lease) EBU 05</v>
          </cell>
          <cell r="AU5" t="str">
            <v>EBU 07</v>
          </cell>
          <cell r="AV5" t="str">
            <v>HD/IMG 01</v>
          </cell>
          <cell r="AW5" t="str">
            <v xml:space="preserve">F-464 </v>
          </cell>
          <cell r="AX5" t="str">
            <v>GCUK 01</v>
          </cell>
          <cell r="AY5" t="str">
            <v>SNG</v>
          </cell>
          <cell r="AZ5" t="str">
            <v>EBU</v>
          </cell>
          <cell r="BB5">
            <v>3</v>
          </cell>
          <cell r="BC5" t="str">
            <v>America</v>
          </cell>
          <cell r="BE5" t="str">
            <v>Track 1: Stereo International L, Track 2: Stereo International R</v>
          </cell>
          <cell r="BK5" t="str">
            <v>SRT</v>
          </cell>
          <cell r="BS5" t="str">
            <v/>
          </cell>
          <cell r="CO5" t="str">
            <v>CING 2012</v>
          </cell>
          <cell r="CX5" t="str">
            <v>New World TV, Sub Saharan</v>
          </cell>
        </row>
        <row r="6">
          <cell r="A6" t="str">
            <v>Radio 1</v>
          </cell>
          <cell r="B6" t="str">
            <v>Andy West</v>
          </cell>
          <cell r="C6" t="str">
            <v>Ian Fisher</v>
          </cell>
          <cell r="D6" t="str">
            <v>LG 6 - 1</v>
          </cell>
          <cell r="J6" t="str">
            <v>January</v>
          </cell>
          <cell r="P6" t="str">
            <v>3</v>
          </cell>
          <cell r="V6" t="str">
            <v>GBP</v>
          </cell>
          <cell r="W6">
            <v>372</v>
          </cell>
          <cell r="Z6" t="str">
            <v>ON3</v>
          </cell>
          <cell r="AB6" t="str">
            <v>-</v>
          </cell>
          <cell r="AE6" t="str">
            <v>Asia</v>
          </cell>
          <cell r="AJ6" t="str">
            <v>IMG to Sky 06</v>
          </cell>
          <cell r="AK6" t="str">
            <v>Euro (EBU lease) Space</v>
          </cell>
          <cell r="AN6" t="str">
            <v>Asia (EBU lease 2) EBU 53</v>
          </cell>
          <cell r="AQ6" t="str">
            <v>Amer (SES lease)</v>
          </cell>
          <cell r="AU6" t="str">
            <v>EBU 09</v>
          </cell>
          <cell r="AV6" t="str">
            <v>HD/IMG 03</v>
          </cell>
          <cell r="AW6" t="str">
            <v>SES 01</v>
          </cell>
          <cell r="AX6" t="str">
            <v>GCUK 03</v>
          </cell>
          <cell r="AZ6" t="str">
            <v>GCUK</v>
          </cell>
          <cell r="BB6">
            <v>4</v>
          </cell>
          <cell r="BC6" t="str">
            <v>BT</v>
          </cell>
          <cell r="BE6" t="str">
            <v>Track 1: Stereo English Mix L, Track 2: Stereo English Mix R</v>
          </cell>
          <cell r="BS6" t="str">
            <v/>
          </cell>
          <cell r="CO6" t="str">
            <v>CING 1014</v>
          </cell>
          <cell r="CX6" t="str">
            <v>Skweek, France</v>
          </cell>
        </row>
        <row r="7">
          <cell r="A7" t="str">
            <v>Radio 2</v>
          </cell>
          <cell r="B7" t="str">
            <v>Andy West On-site</v>
          </cell>
          <cell r="C7" t="str">
            <v>James Hudd</v>
          </cell>
          <cell r="D7" t="str">
            <v>LG 8 - 1</v>
          </cell>
          <cell r="J7" t="str">
            <v>February</v>
          </cell>
          <cell r="P7" t="str">
            <v>4</v>
          </cell>
          <cell r="V7" t="str">
            <v>AUD</v>
          </cell>
          <cell r="W7">
            <v>373</v>
          </cell>
          <cell r="Z7" t="str">
            <v>ON4</v>
          </cell>
          <cell r="AB7" t="str">
            <v>Norm</v>
          </cell>
          <cell r="AE7" t="str">
            <v>BTT</v>
          </cell>
          <cell r="AJ7" t="str">
            <v>IMG to Sky 08</v>
          </cell>
          <cell r="AK7" t="str">
            <v>Euro (SES lease)</v>
          </cell>
          <cell r="AM7">
            <v>190</v>
          </cell>
          <cell r="AN7" t="str">
            <v>Asia (EBU Adhoc)</v>
          </cell>
          <cell r="AQ7" t="str">
            <v>Amer (SES Adhoc)</v>
          </cell>
          <cell r="AU7" t="str">
            <v>EBU 11</v>
          </cell>
          <cell r="AV7" t="str">
            <v>HD/IMG 05</v>
          </cell>
          <cell r="AW7" t="str">
            <v>SES 03</v>
          </cell>
          <cell r="AX7" t="str">
            <v>GCUK 05</v>
          </cell>
          <cell r="BB7">
            <v>5</v>
          </cell>
          <cell r="BE7" t="str">
            <v>Track 1: Stereo English Mix L, Track 2: Stereo English Mix R, Track 3: Stereo International L, Track 4: Stereo International R, Track 5: N/A, Track 6: N/A, Track 7: Clean English Comms, Track 8: Clean English Comms</v>
          </cell>
          <cell r="BS7" t="str">
            <v/>
          </cell>
          <cell r="CO7" t="str">
            <v>CING 2014</v>
          </cell>
          <cell r="CX7" t="str">
            <v>Deutsche Telekom - Magenta, Germany</v>
          </cell>
        </row>
        <row r="8">
          <cell r="A8" t="str">
            <v>Radio 3</v>
          </cell>
          <cell r="B8" t="str">
            <v>Charlie Brougham</v>
          </cell>
          <cell r="C8" t="str">
            <v>Keron Steele</v>
          </cell>
          <cell r="D8" t="str">
            <v>PCR C</v>
          </cell>
          <cell r="J8" t="str">
            <v>March</v>
          </cell>
          <cell r="P8" t="str">
            <v>5</v>
          </cell>
          <cell r="W8">
            <v>374</v>
          </cell>
          <cell r="Z8" t="str">
            <v>ON5</v>
          </cell>
          <cell r="AB8" t="str">
            <v>GOW</v>
          </cell>
          <cell r="AE8" t="str">
            <v>Fibre</v>
          </cell>
          <cell r="AJ8" t="str">
            <v>IMG to Sky 10</v>
          </cell>
          <cell r="AK8" t="str">
            <v>Euro (SES lease) Space Only</v>
          </cell>
          <cell r="AM8">
            <v>190</v>
          </cell>
          <cell r="AN8" t="str">
            <v>Asia (SES lease)</v>
          </cell>
          <cell r="AQ8" t="str">
            <v>Amer (GCUK Adhoc)</v>
          </cell>
          <cell r="AU8" t="str">
            <v>EBU 13</v>
          </cell>
          <cell r="AV8" t="str">
            <v>HD/IMG 07</v>
          </cell>
          <cell r="AW8" t="str">
            <v>SES 05</v>
          </cell>
          <cell r="AX8" t="str">
            <v>GCUK 07</v>
          </cell>
          <cell r="BB8">
            <v>6</v>
          </cell>
          <cell r="BE8" t="str">
            <v>Track 1: Stereo English Mix L, Track 2: Stereo English Mix R, Track 3: Stereo International L, Track 4: Stereo International R, Track 5: Sport5 Israel, Track 6: N/A, Track 7: Clean English Comms, Track 8: Clean English Comms</v>
          </cell>
          <cell r="BS8" t="str">
            <v/>
          </cell>
          <cell r="CO8" t="str">
            <v>CING 100</v>
          </cell>
          <cell r="CX8" t="str">
            <v>DAZN (Stream), Italy</v>
          </cell>
        </row>
        <row r="9">
          <cell r="A9" t="str">
            <v>Gallery 1</v>
          </cell>
          <cell r="B9" t="str">
            <v>Dan Routledge</v>
          </cell>
          <cell r="C9" t="str">
            <v>Keron Steele - Onsite</v>
          </cell>
          <cell r="D9" t="str">
            <v>PCR B</v>
          </cell>
          <cell r="J9" t="str">
            <v>April</v>
          </cell>
          <cell r="P9" t="str">
            <v>6</v>
          </cell>
          <cell r="W9">
            <v>375</v>
          </cell>
          <cell r="Z9" t="str">
            <v>ON6</v>
          </cell>
          <cell r="AB9" t="str">
            <v>Pre+Norm</v>
          </cell>
          <cell r="AE9" t="str">
            <v>Amer</v>
          </cell>
          <cell r="AJ9" t="str">
            <v>IMG to Sky 12</v>
          </cell>
          <cell r="AK9" t="str">
            <v>Euro (SES Adhoc)</v>
          </cell>
          <cell r="AM9">
            <v>190</v>
          </cell>
          <cell r="AN9" t="str">
            <v>Asia (SES Adhoc)</v>
          </cell>
          <cell r="AQ9" t="str">
            <v>Amer (EBU Adhoc)</v>
          </cell>
          <cell r="AU9" t="str">
            <v>EBU 15</v>
          </cell>
          <cell r="AV9" t="str">
            <v>HD/IMG 09</v>
          </cell>
          <cell r="AW9" t="str">
            <v>SES 07</v>
          </cell>
          <cell r="AX9" t="str">
            <v>GCUK 09</v>
          </cell>
          <cell r="BB9">
            <v>7</v>
          </cell>
          <cell r="BE9" t="str">
            <v>Track 1: Stereo English Mix L, Track 2: Stereo English Mix R, Track 3: Stereo International L, Track 4: Stereo International R, Track 5: Host comms, Track 6: Greek Comms, Track 7: Clean English Comms, Track 8: Clean English Comms</v>
          </cell>
          <cell r="BS9" t="str">
            <v/>
          </cell>
          <cell r="CO9" t="str">
            <v>CING 102</v>
          </cell>
          <cell r="CX9" t="str">
            <v>DirectTV, Latam America</v>
          </cell>
        </row>
        <row r="10">
          <cell r="A10" t="str">
            <v>Gallery 2</v>
          </cell>
          <cell r="B10" t="str">
            <v>Dane Arlauckas On-site</v>
          </cell>
          <cell r="C10" t="str">
            <v>Mark Hobbs</v>
          </cell>
          <cell r="D10" t="str">
            <v>PQC - 2</v>
          </cell>
          <cell r="J10" t="str">
            <v>May</v>
          </cell>
          <cell r="P10" t="str">
            <v>7</v>
          </cell>
          <cell r="W10">
            <v>376</v>
          </cell>
          <cell r="Z10" t="str">
            <v>ON7</v>
          </cell>
          <cell r="AB10" t="str">
            <v>Norm+Post</v>
          </cell>
          <cell r="AE10" t="str">
            <v>IMG</v>
          </cell>
          <cell r="AJ10" t="str">
            <v>IMG to Sky 14</v>
          </cell>
          <cell r="AK10" t="str">
            <v>Euro (GCUK lease #1)</v>
          </cell>
          <cell r="AN10" t="str">
            <v>Asia (GCUK Adhoc)</v>
          </cell>
          <cell r="AT10" t="str">
            <v>Yes</v>
          </cell>
          <cell r="AU10" t="str">
            <v>EBU 17</v>
          </cell>
          <cell r="AV10" t="str">
            <v>HD/IMG 11</v>
          </cell>
          <cell r="AW10" t="str">
            <v>SES 09</v>
          </cell>
          <cell r="AX10" t="str">
            <v>GCUK 11</v>
          </cell>
          <cell r="BB10">
            <v>8</v>
          </cell>
          <cell r="BE10" t="str">
            <v>Track 1: Stereo English Mix L, Track 2: Stereo English Mix R, Track 3: Stereo International L, Track 4: Stereo International R, Track 5: Greek comms, Track 6: N/A, Track 7: Clean English Comms, Track 8: Clean English Comms</v>
          </cell>
          <cell r="BS10" t="str">
            <v/>
          </cell>
          <cell r="CO10" t="str">
            <v>CING 104</v>
          </cell>
          <cell r="CX10" t="str">
            <v>WSC , Streaming</v>
          </cell>
        </row>
        <row r="11">
          <cell r="A11" t="str">
            <v>Gal 2 / Comms 1</v>
          </cell>
          <cell r="B11" t="str">
            <v>Frank Lawlor</v>
          </cell>
          <cell r="C11" t="str">
            <v>Paul Crichton</v>
          </cell>
          <cell r="D11" t="str">
            <v>LG 2 - 2</v>
          </cell>
          <cell r="P11" t="str">
            <v>8</v>
          </cell>
          <cell r="W11">
            <v>377</v>
          </cell>
          <cell r="Z11" t="str">
            <v>ON8</v>
          </cell>
          <cell r="AB11" t="str">
            <v>Pre+Norm+Post</v>
          </cell>
          <cell r="AE11" t="str">
            <v>Stream Titan</v>
          </cell>
          <cell r="AJ11" t="str">
            <v>IMG to Sky 16</v>
          </cell>
          <cell r="AK11" t="str">
            <v>Euro (GCUK lease #2)</v>
          </cell>
          <cell r="AN11" t="str">
            <v>Asia (SES 1 Month Lease)</v>
          </cell>
          <cell r="AT11" t="str">
            <v>No</v>
          </cell>
          <cell r="AU11" t="str">
            <v>EBU 19</v>
          </cell>
          <cell r="AV11" t="str">
            <v>HD/IMG 13</v>
          </cell>
          <cell r="AW11" t="str">
            <v>SES 11</v>
          </cell>
          <cell r="AX11" t="str">
            <v>GCUK 13</v>
          </cell>
          <cell r="BB11">
            <v>9</v>
          </cell>
          <cell r="BE11" t="str">
            <v>Track 1: Stereo English Mix L, Track 2: Stereo English Mix R, Track 3: Stereo International L, Track 4: Stereo International R, Track 5: Movistar Spain, Track 6: N/A  Track 7: Clean English Comms, Track 8: Clean English Comms</v>
          </cell>
          <cell r="BS11" t="str">
            <v/>
          </cell>
          <cell r="CO11" t="str">
            <v>CING 106</v>
          </cell>
          <cell r="CX11" t="str">
            <v>CDO, Chilie</v>
          </cell>
        </row>
        <row r="12">
          <cell r="A12" t="str">
            <v>Gal 2 / Comms 2</v>
          </cell>
          <cell r="B12" t="str">
            <v>Frank Lawlor On-site</v>
          </cell>
          <cell r="C12" t="str">
            <v>Richard Lygo</v>
          </cell>
          <cell r="D12" t="str">
            <v>LG 3 - 2</v>
          </cell>
          <cell r="P12" t="str">
            <v>9</v>
          </cell>
          <cell r="W12">
            <v>378</v>
          </cell>
          <cell r="Z12" t="str">
            <v>ON9</v>
          </cell>
          <cell r="AB12" t="str">
            <v>Pre+GOW</v>
          </cell>
          <cell r="AE12" t="str">
            <v>Stream Adhoc</v>
          </cell>
          <cell r="AJ12" t="str">
            <v>IMG to Sky 18</v>
          </cell>
          <cell r="AK12" t="str">
            <v>Euro (GCUK Adhoc)</v>
          </cell>
          <cell r="AU12" t="str">
            <v>EBU 21</v>
          </cell>
          <cell r="AV12" t="str">
            <v>HD/IMG 15</v>
          </cell>
          <cell r="AW12" t="str">
            <v>SES 13</v>
          </cell>
          <cell r="AX12" t="str">
            <v>GCUK 15</v>
          </cell>
          <cell r="BB12">
            <v>10</v>
          </cell>
          <cell r="BE12" t="str">
            <v>Track 1: Stereo English Mix L, Track 2: Stereo English Mix R, Track 3: Stereo International L, Track 4: Stereo International R, Track 5: Saran Turkey, Track 6: N/A  Track 7: Clean English Comms, Track 8: Clean English Comms</v>
          </cell>
          <cell r="BS12" t="str">
            <v/>
          </cell>
          <cell r="CO12" t="str">
            <v>CING 108</v>
          </cell>
          <cell r="CX12" t="str">
            <v xml:space="preserve">Bandsports , Brazil </v>
          </cell>
        </row>
        <row r="13">
          <cell r="A13" t="str">
            <v>Gal 2 / Comms 3</v>
          </cell>
          <cell r="B13" t="str">
            <v>Geert Hammink</v>
          </cell>
          <cell r="C13" t="str">
            <v>Richard Simmonds</v>
          </cell>
          <cell r="D13" t="str">
            <v>LG 6 - 2</v>
          </cell>
          <cell r="P13" t="str">
            <v>10</v>
          </cell>
          <cell r="W13">
            <v>379</v>
          </cell>
          <cell r="Z13" t="str">
            <v>ON10</v>
          </cell>
          <cell r="AB13" t="str">
            <v>GOW+Post</v>
          </cell>
          <cell r="AJ13" t="str">
            <v>IMG to Sky 20</v>
          </cell>
          <cell r="AK13" t="str">
            <v>Euro (EBU Adhoc)</v>
          </cell>
          <cell r="AU13" t="str">
            <v>EBU 23</v>
          </cell>
          <cell r="AV13" t="str">
            <v>HD/IMG 17</v>
          </cell>
          <cell r="AW13" t="str">
            <v>SES 15</v>
          </cell>
          <cell r="AX13" t="str">
            <v>GCUK 17</v>
          </cell>
          <cell r="BB13">
            <v>11</v>
          </cell>
          <cell r="BE13" t="str">
            <v>Track 1: Stereo English Mix L, Track 2: Stereo English Mix R, Track 3: Stereo International L, Track 4: Stereo International R, Track 5: Nova Greece, Track 6: N/A , Track 7: Clean English Comms, Track 8: Clean English Comms</v>
          </cell>
          <cell r="CO13" t="str">
            <v>CING 110</v>
          </cell>
          <cell r="CX13" t="str">
            <v>Taurocast, Argentina</v>
          </cell>
        </row>
        <row r="14">
          <cell r="A14" t="str">
            <v>Gal 2 / Comms 4</v>
          </cell>
          <cell r="B14" t="str">
            <v>Jeff Taylor</v>
          </cell>
          <cell r="C14" t="str">
            <v>Robert Steele</v>
          </cell>
          <cell r="D14" t="str">
            <v>LG 8 - 2</v>
          </cell>
          <cell r="P14" t="str">
            <v>11</v>
          </cell>
          <cell r="W14">
            <v>380</v>
          </cell>
          <cell r="Z14" t="str">
            <v>ON11</v>
          </cell>
          <cell r="AB14" t="str">
            <v>Pre+GOW+Post</v>
          </cell>
          <cell r="AJ14" t="str">
            <v>IMG to Sky 22</v>
          </cell>
          <cell r="AU14" t="str">
            <v>EBU 25</v>
          </cell>
          <cell r="AV14" t="str">
            <v>HD/IMG 19</v>
          </cell>
          <cell r="AW14" t="str">
            <v>SES 17</v>
          </cell>
          <cell r="BB14">
            <v>12</v>
          </cell>
          <cell r="BE14" t="str">
            <v>Track 1: Stereo English Mix L, Track 2: Stereo English Mix R, Track 3: Stereo International L, Track 4: Stereo International R, Track 5: Nova Greece, Track 6: Sportklub Serbia, Track 7: Sportklub Croatia, Track 8: BETV Belgium, Track 9: Russia OKKO, Track 10: Saran TV Turkey  Track 11: SKWEEK France, Track 12: Magenta Germany Track 13: Movistar Spain, Track 14: Clean English Comms</v>
          </cell>
          <cell r="CO14" t="str">
            <v>CING 112</v>
          </cell>
          <cell r="CX14" t="str">
            <v>Jac Vmix, IMG</v>
          </cell>
        </row>
        <row r="15">
          <cell r="A15" t="str">
            <v>Radio 1 / EXT 4</v>
          </cell>
          <cell r="B15" t="str">
            <v>Jiri Zidek</v>
          </cell>
          <cell r="C15" t="str">
            <v>Rory Kyle</v>
          </cell>
          <cell r="D15" t="str">
            <v>PQC - 3</v>
          </cell>
          <cell r="P15" t="str">
            <v>12</v>
          </cell>
          <cell r="W15">
            <v>381</v>
          </cell>
          <cell r="Z15" t="str">
            <v>ON12</v>
          </cell>
          <cell r="AJ15" t="str">
            <v>IMG to Sky 24</v>
          </cell>
          <cell r="AU15" t="str">
            <v>EBU 27</v>
          </cell>
          <cell r="AV15" t="str">
            <v>HD/IMG 21</v>
          </cell>
          <cell r="AW15" t="str">
            <v>SES 19</v>
          </cell>
          <cell r="BB15">
            <v>13</v>
          </cell>
          <cell r="BE15" t="str">
            <v>Track 1: Stereo English Mix L, Track 2: Stereo English Mix R, Track 3: Stereo International L, Track 4: Stereo International R, Track 5: Sportklub, Track 6: N/A, Track 7: Clean English Comms, Track 8: Clean English Comms</v>
          </cell>
          <cell r="CO15" t="str">
            <v>CING 114</v>
          </cell>
          <cell r="CX15" t="str">
            <v>Starzplay, MENA</v>
          </cell>
        </row>
        <row r="16">
          <cell r="A16" t="str">
            <v>Radio 1 / EXT 5</v>
          </cell>
          <cell r="B16" t="str">
            <v>Jiri Zidek On-site</v>
          </cell>
          <cell r="C16" t="str">
            <v>Sharmi Naidoo</v>
          </cell>
          <cell r="D16" t="str">
            <v>LG 2 - 3</v>
          </cell>
          <cell r="P16" t="str">
            <v>13</v>
          </cell>
          <cell r="W16">
            <v>382</v>
          </cell>
          <cell r="Z16" t="str">
            <v>ON13</v>
          </cell>
          <cell r="AJ16" t="str">
            <v>IMG to Sky 26</v>
          </cell>
          <cell r="AU16" t="str">
            <v>EBU 29</v>
          </cell>
          <cell r="AV16" t="str">
            <v>HD/IMG 23</v>
          </cell>
          <cell r="AW16" t="str">
            <v>SES 21</v>
          </cell>
          <cell r="BB16">
            <v>14</v>
          </cell>
          <cell r="BE16" t="str">
            <v>Track 1: Stereo English Mix L, Track 2: Stereo English Mix R, Track 3: Stereo International L, Track 4: Stereo International R, Track 5: Monaco TV, Track 6: Sportklub, Track 7: Clean English Comms, Track 8: Clean English Comms</v>
          </cell>
          <cell r="CO16" t="str">
            <v>CING 116</v>
          </cell>
          <cell r="CX16" t="str">
            <v/>
          </cell>
        </row>
        <row r="17">
          <cell r="A17" t="str">
            <v>Gallery 5</v>
          </cell>
          <cell r="B17" t="str">
            <v>Joe Arlauckas</v>
          </cell>
          <cell r="C17" t="str">
            <v>Mark WH</v>
          </cell>
          <cell r="D17" t="str">
            <v>LG 3 - 3</v>
          </cell>
          <cell r="P17" t="str">
            <v>14</v>
          </cell>
          <cell r="W17">
            <v>383</v>
          </cell>
          <cell r="Z17" t="str">
            <v>ON14</v>
          </cell>
          <cell r="AJ17" t="str">
            <v>IMG to Sky 28</v>
          </cell>
          <cell r="AV17" t="str">
            <v>HD/IMG 25</v>
          </cell>
          <cell r="AW17" t="str">
            <v>SES 23</v>
          </cell>
          <cell r="BB17">
            <v>15</v>
          </cell>
          <cell r="BE17" t="str">
            <v>Track 1: Stereo English Mix L, Track 2: Stereo English Mix R, Track 3: Stereo International L, Track 4: Stereo International R, Track 5: Movistar Spain, Track 6: Greek Comms  Track 7: Clean English Comms, Track 8: Clean English Comms</v>
          </cell>
          <cell r="CO17" t="str">
            <v>CING 118</v>
          </cell>
          <cell r="CX17" t="str">
            <v/>
          </cell>
        </row>
        <row r="18">
          <cell r="A18" t="str">
            <v>Gallery 6</v>
          </cell>
          <cell r="B18" t="str">
            <v>Joe Arlauckas On-site</v>
          </cell>
          <cell r="C18" t="str">
            <v>Stuart Brown</v>
          </cell>
          <cell r="D18" t="str">
            <v>LG 6 - 3</v>
          </cell>
          <cell r="P18" t="str">
            <v>15</v>
          </cell>
          <cell r="W18">
            <v>384</v>
          </cell>
          <cell r="Z18" t="str">
            <v>ON15</v>
          </cell>
          <cell r="AJ18" t="str">
            <v>IMG to Sky 30</v>
          </cell>
          <cell r="AK18" t="str">
            <v>Euro (EBU lease) EBU 01</v>
          </cell>
          <cell r="AV18" t="str">
            <v>IMG/101-A</v>
          </cell>
          <cell r="AW18" t="str">
            <v>SES 25</v>
          </cell>
          <cell r="BB18">
            <v>16</v>
          </cell>
          <cell r="BE18" t="str">
            <v>Track 1: Stereo English Mix L, Track 2: Stereo English Mix R, Track 3: Stereo International L, Track 4: Stereo International R, Track 5: Movistar Spain, Track 6: Saran Turkey, Track 7: Clean English Comms, Track 8: Clean English Comms</v>
          </cell>
          <cell r="CO18" t="str">
            <v>CING 120</v>
          </cell>
          <cell r="CX18" t="str">
            <v/>
          </cell>
        </row>
        <row r="19">
          <cell r="A19" t="str">
            <v>Gallery 7</v>
          </cell>
          <cell r="B19" t="str">
            <v>John Grabowski</v>
          </cell>
          <cell r="C19" t="str">
            <v>N/A</v>
          </cell>
          <cell r="D19" t="str">
            <v>LG 8 - 3</v>
          </cell>
          <cell r="P19" t="str">
            <v>16</v>
          </cell>
          <cell r="W19">
            <v>385</v>
          </cell>
          <cell r="Z19" t="str">
            <v>ON16</v>
          </cell>
          <cell r="AJ19" t="str">
            <v>IMG to Sky 32</v>
          </cell>
          <cell r="AK19" t="str">
            <v>Euro (EBU lease) Space</v>
          </cell>
          <cell r="AV19" t="str">
            <v>IMG/103-A</v>
          </cell>
          <cell r="BB19">
            <v>17</v>
          </cell>
          <cell r="BE19" t="str">
            <v>Track 1: Stereo English Mix L, Track 2: Stereo English Mix R, Track 3: Stereo International L, Track 4: Stereo International R, Track 5: Sportklub, Track 6: Movistar Spain, Track 7: Clean English Comms, Track 8: Clean English Comms</v>
          </cell>
          <cell r="CO19" t="str">
            <v>CING 122</v>
          </cell>
          <cell r="CX19" t="str">
            <v/>
          </cell>
        </row>
        <row r="20">
          <cell r="A20" t="str">
            <v>Gallery 8</v>
          </cell>
          <cell r="B20" t="str">
            <v>Kevin Cadle</v>
          </cell>
          <cell r="D20" t="str">
            <v>PQC - 4</v>
          </cell>
          <cell r="P20" t="str">
            <v>17</v>
          </cell>
          <cell r="W20">
            <v>386</v>
          </cell>
          <cell r="Z20" t="str">
            <v>ON17</v>
          </cell>
          <cell r="AJ20" t="str">
            <v>IMG to Sky 34</v>
          </cell>
          <cell r="AK20" t="str">
            <v>Asia (EBU lease 1) EBU 03</v>
          </cell>
          <cell r="AV20" t="str">
            <v>IMG/105-A</v>
          </cell>
          <cell r="BB20">
            <v>18</v>
          </cell>
          <cell r="BE20" t="str">
            <v>Track 1: Stereo English Mix L, Track 2: Stereo English Mix R, Track 3: Stereo International L, Track 4: Stereo International R, Track 5: Sportklub, Track 6: Magenta Germany, Track 7: Clean English Comms, Track 8: Clean English Comms</v>
          </cell>
          <cell r="CO20" t="str">
            <v>CING 124</v>
          </cell>
          <cell r="CX20" t="str">
            <v/>
          </cell>
        </row>
        <row r="21">
          <cell r="A21" t="str">
            <v>Gallery 9</v>
          </cell>
          <cell r="B21" t="str">
            <v>Liam Canny</v>
          </cell>
          <cell r="D21" t="str">
            <v>LG 2 - 4</v>
          </cell>
          <cell r="P21" t="str">
            <v>18</v>
          </cell>
          <cell r="W21">
            <v>387</v>
          </cell>
          <cell r="AJ21" t="str">
            <v>IMG to Sky 36</v>
          </cell>
          <cell r="AK21" t="str">
            <v>Asia (EBU lease 2) EBU 53</v>
          </cell>
          <cell r="AV21" t="str">
            <v>IMG/107-A</v>
          </cell>
          <cell r="BB21">
            <v>19</v>
          </cell>
          <cell r="BE21" t="str">
            <v>Track 1: Stereo International L, Track 2: Stereo International R,  Track 3: Italian Comms, Track 4:Italian Comms</v>
          </cell>
          <cell r="CO21" t="str">
            <v>CING 126</v>
          </cell>
          <cell r="CX21" t="str">
            <v/>
          </cell>
        </row>
        <row r="22">
          <cell r="A22" t="str">
            <v>CSCR Comm EXT 9</v>
          </cell>
          <cell r="B22" t="str">
            <v>Liam Canny On-site</v>
          </cell>
          <cell r="D22" t="str">
            <v>LG 3 - 4</v>
          </cell>
          <cell r="P22" t="str">
            <v>19</v>
          </cell>
          <cell r="W22">
            <v>388</v>
          </cell>
          <cell r="AJ22" t="str">
            <v>IMG to Sky 38</v>
          </cell>
          <cell r="AK22" t="str">
            <v>Asia (SES lease)</v>
          </cell>
          <cell r="AV22" t="str">
            <v>IMG/109-A</v>
          </cell>
          <cell r="BB22">
            <v>20</v>
          </cell>
          <cell r="BE22" t="str">
            <v>Track 1: Stereo International L, Track 2: Stereo International R,  Track 3: English Translation, Track 4: Serbian Translation, Track 5: Spanish Translation, Track 6: Turkish Translation, Track 7: Greek Translation</v>
          </cell>
          <cell r="CO22" t="str">
            <v>CING 128</v>
          </cell>
          <cell r="CX22" t="str">
            <v/>
          </cell>
        </row>
        <row r="23">
          <cell r="A23" t="str">
            <v>DUB VO 3</v>
          </cell>
          <cell r="B23" t="str">
            <v>Lloyd Gardner</v>
          </cell>
          <cell r="D23" t="str">
            <v>LG 6 - 4</v>
          </cell>
          <cell r="P23" t="str">
            <v>20</v>
          </cell>
          <cell r="W23">
            <v>389</v>
          </cell>
          <cell r="AJ23" t="str">
            <v>IMG to Sky 40</v>
          </cell>
          <cell r="AK23" t="str">
            <v>Amer (EBU lease) EBU 05</v>
          </cell>
          <cell r="AV23" t="str">
            <v>IMG/201-B</v>
          </cell>
          <cell r="BB23">
            <v>21</v>
          </cell>
          <cell r="BE23" t="str">
            <v>Track 1: Stereo International L, Track 2: Stereo International R,  Track 3: Clean Commentary, Track 4: N/A</v>
          </cell>
          <cell r="CO23" t="str">
            <v>CING 130</v>
          </cell>
          <cell r="CX23" t="str">
            <v/>
          </cell>
        </row>
        <row r="24">
          <cell r="A24" t="str">
            <v>DUB VO 4</v>
          </cell>
          <cell r="B24" t="str">
            <v>Mark Clark</v>
          </cell>
          <cell r="D24" t="str">
            <v>LG 8 - 4</v>
          </cell>
          <cell r="P24" t="str">
            <v>21</v>
          </cell>
          <cell r="W24">
            <v>390</v>
          </cell>
          <cell r="AJ24" t="str">
            <v>IMG to Sky 42</v>
          </cell>
          <cell r="AK24" t="str">
            <v>Amer (SES lease)</v>
          </cell>
          <cell r="AV24" t="str">
            <v>IMG/203-B</v>
          </cell>
          <cell r="BB24">
            <v>22</v>
          </cell>
          <cell r="BE24" t="str">
            <v>Track 1: Stereo International L, Track 2: Stereo International R,  Track 3: N/A, Track 4: N/A, Track 5: Nova Greece Track 6: N/A</v>
          </cell>
          <cell r="CO24" t="str">
            <v>CING 132</v>
          </cell>
          <cell r="CX24" t="str">
            <v/>
          </cell>
        </row>
        <row r="25">
          <cell r="A25" t="str">
            <v>VO 1</v>
          </cell>
          <cell r="B25" t="str">
            <v>Martin Henlan</v>
          </cell>
          <cell r="D25" t="str">
            <v>PQC - 5</v>
          </cell>
          <cell r="P25" t="str">
            <v>22</v>
          </cell>
          <cell r="W25">
            <v>391</v>
          </cell>
          <cell r="AJ25" t="str">
            <v>IMG to Sky 44</v>
          </cell>
          <cell r="AK25" t="str">
            <v>Euro (GCUK lease #1)</v>
          </cell>
          <cell r="AV25" t="str">
            <v>IMG/205-B</v>
          </cell>
          <cell r="BB25">
            <v>23</v>
          </cell>
          <cell r="BE25" t="str">
            <v>Track 1: Stereo International L, Track 2: Stereo International R,  Track 3: N/A, Track 4: N/A, Track 5: Saran Turkey Track 6: N/A</v>
          </cell>
          <cell r="CO25" t="str">
            <v>CING 134</v>
          </cell>
        </row>
        <row r="26">
          <cell r="A26" t="str">
            <v>VO 2</v>
          </cell>
          <cell r="B26" t="str">
            <v>Nick Halling</v>
          </cell>
          <cell r="D26" t="str">
            <v>PQC - 6</v>
          </cell>
          <cell r="P26" t="str">
            <v>23</v>
          </cell>
          <cell r="W26">
            <v>392</v>
          </cell>
          <cell r="AK26" t="str">
            <v>Euro (GCUK lease #2)</v>
          </cell>
          <cell r="AV26" t="str">
            <v>IMG/207-B</v>
          </cell>
          <cell r="BB26">
            <v>24</v>
          </cell>
          <cell r="BE26" t="str">
            <v>Track 1: Stereo International L, Track 2: Stereo International R,  Track 3: N/A, Track 4: N/A, Track 5: Sportklub Track 6: N/A</v>
          </cell>
          <cell r="CO26" t="str">
            <v>CING 136</v>
          </cell>
        </row>
        <row r="27">
          <cell r="A27" t="str">
            <v>VO 3</v>
          </cell>
          <cell r="B27" t="str">
            <v>Richard Kaufman</v>
          </cell>
          <cell r="D27" t="str">
            <v>Andre Smith</v>
          </cell>
          <cell r="P27" t="str">
            <v>24</v>
          </cell>
          <cell r="W27">
            <v>393</v>
          </cell>
          <cell r="BB27">
            <v>25</v>
          </cell>
          <cell r="BE27" t="str">
            <v>Track 1: Stereo International L, Track 2: Stereo International R,  Track 3: N/A, Track 4: N/A, Track 5: Monaco TV, Track 6: Sportklub</v>
          </cell>
          <cell r="CO27" t="str">
            <v>CING 138</v>
          </cell>
        </row>
        <row r="28">
          <cell r="A28" t="str">
            <v>VO 4</v>
          </cell>
          <cell r="B28" t="str">
            <v>Ronald McIntosh</v>
          </cell>
          <cell r="D28" t="str">
            <v>Staff on shift</v>
          </cell>
          <cell r="P28" t="str">
            <v>25</v>
          </cell>
          <cell r="W28">
            <v>394</v>
          </cell>
          <cell r="BB28">
            <v>26</v>
          </cell>
          <cell r="BE28" t="str">
            <v>Track 1: Stereo International L, Track 2: Stereo International R,  Track 3: N/A, Track 4: N/A, Track 5: Movistar Spain, Track 6: N/A</v>
          </cell>
          <cell r="CO28" t="str">
            <v>CING 140</v>
          </cell>
        </row>
        <row r="29">
          <cell r="A29" t="str">
            <v>LG4,VO3</v>
          </cell>
          <cell r="B29" t="str">
            <v>Roy Birch</v>
          </cell>
          <cell r="D29" t="str">
            <v>N/A</v>
          </cell>
          <cell r="P29" t="str">
            <v>26</v>
          </cell>
          <cell r="W29">
            <v>395</v>
          </cell>
          <cell r="BB29">
            <v>27</v>
          </cell>
          <cell r="BE29" t="str">
            <v>&lt;audio track&gt;</v>
          </cell>
          <cell r="CO29" t="str">
            <v>CING 142</v>
          </cell>
        </row>
        <row r="30">
          <cell r="A30" t="str">
            <v>Comms 3</v>
          </cell>
          <cell r="B30" t="str">
            <v>Tim Long</v>
          </cell>
          <cell r="P30" t="str">
            <v>27</v>
          </cell>
          <cell r="W30">
            <v>396</v>
          </cell>
          <cell r="BB30">
            <v>28</v>
          </cell>
          <cell r="CO30" t="str">
            <v>CING 144</v>
          </cell>
        </row>
        <row r="31">
          <cell r="A31" t="str">
            <v>Comms 5</v>
          </cell>
          <cell r="B31" t="str">
            <v>Liam Canny &amp; Martin Henlan</v>
          </cell>
          <cell r="P31" t="str">
            <v>28</v>
          </cell>
          <cell r="W31">
            <v>397</v>
          </cell>
          <cell r="BB31">
            <v>29</v>
          </cell>
          <cell r="CO31" t="str">
            <v>CING 146</v>
          </cell>
        </row>
        <row r="32">
          <cell r="A32" t="str">
            <v>Comms 6</v>
          </cell>
          <cell r="B32" t="str">
            <v>Andy West &amp; Martin Henlan</v>
          </cell>
          <cell r="P32" t="str">
            <v>29</v>
          </cell>
          <cell r="W32">
            <v>398</v>
          </cell>
          <cell r="BB32">
            <v>30</v>
          </cell>
          <cell r="CO32" t="str">
            <v>CING 148</v>
          </cell>
        </row>
        <row r="33">
          <cell r="A33" t="str">
            <v>Comms 7</v>
          </cell>
          <cell r="B33" t="str">
            <v>Dan Strange</v>
          </cell>
          <cell r="P33" t="str">
            <v>30</v>
          </cell>
          <cell r="W33">
            <v>399</v>
          </cell>
          <cell r="BB33">
            <v>31</v>
          </cell>
          <cell r="CO33" t="str">
            <v>CING 150</v>
          </cell>
        </row>
        <row r="34">
          <cell r="A34" t="str">
            <v>Comms 8</v>
          </cell>
          <cell r="B34" t="str">
            <v>Andy West and Joe Arlauckas On-site</v>
          </cell>
          <cell r="P34" t="str">
            <v>31</v>
          </cell>
          <cell r="W34">
            <v>400</v>
          </cell>
          <cell r="BB34">
            <v>32</v>
          </cell>
          <cell r="CO34" t="str">
            <v>CING 152</v>
          </cell>
        </row>
        <row r="35">
          <cell r="A35" t="str">
            <v>Comms 9</v>
          </cell>
          <cell r="B35" t="str">
            <v>Tim Long and Joe Arlauckas On-site</v>
          </cell>
          <cell r="P35" t="str">
            <v>32</v>
          </cell>
          <cell r="W35">
            <v>401</v>
          </cell>
          <cell r="BB35">
            <v>33</v>
          </cell>
          <cell r="CO35" t="str">
            <v>CING 154</v>
          </cell>
        </row>
        <row r="36">
          <cell r="A36" t="str">
            <v>Comms 4</v>
          </cell>
          <cell r="B36" t="str">
            <v>Tim Long On-site</v>
          </cell>
          <cell r="P36" t="str">
            <v>33</v>
          </cell>
          <cell r="W36">
            <v>402</v>
          </cell>
          <cell r="BB36">
            <v>34</v>
          </cell>
          <cell r="CO36" t="str">
            <v>CING 200</v>
          </cell>
        </row>
        <row r="37">
          <cell r="A37" t="str">
            <v>C101</v>
          </cell>
          <cell r="B37" t="str">
            <v>Spero Dedes on-site</v>
          </cell>
          <cell r="P37" t="str">
            <v>34</v>
          </cell>
          <cell r="W37">
            <v>403</v>
          </cell>
          <cell r="CO37" t="str">
            <v>CING 202</v>
          </cell>
        </row>
        <row r="38">
          <cell r="A38" t="str">
            <v>V04 (Craft 101)</v>
          </cell>
          <cell r="B38" t="str">
            <v>Darren Kilfara</v>
          </cell>
          <cell r="P38" t="str">
            <v>PLAY-IN</v>
          </cell>
          <cell r="W38">
            <v>404</v>
          </cell>
          <cell r="CO38" t="str">
            <v>CING 204</v>
          </cell>
        </row>
        <row r="39">
          <cell r="A39" t="str">
            <v>Comm 104</v>
          </cell>
          <cell r="P39" t="str">
            <v>PLAYOFF 1</v>
          </cell>
          <cell r="W39">
            <v>405</v>
          </cell>
          <cell r="CO39" t="str">
            <v>CING 206</v>
          </cell>
        </row>
        <row r="40">
          <cell r="A40" t="str">
            <v>Radio EXT 1</v>
          </cell>
          <cell r="P40" t="str">
            <v>PLAYOFF 2</v>
          </cell>
          <cell r="W40">
            <v>406</v>
          </cell>
          <cell r="CO40" t="str">
            <v>CING 208</v>
          </cell>
        </row>
        <row r="41">
          <cell r="A41" t="str">
            <v>Radio EXT 4</v>
          </cell>
          <cell r="P41" t="str">
            <v>PLAYOFF 3</v>
          </cell>
          <cell r="W41">
            <v>407</v>
          </cell>
          <cell r="CO41" t="str">
            <v>CING 210</v>
          </cell>
        </row>
        <row r="42">
          <cell r="A42" t="str">
            <v>Radio EXT 5</v>
          </cell>
          <cell r="P42" t="str">
            <v>ANGT TOURNAMENT</v>
          </cell>
          <cell r="W42">
            <v>408</v>
          </cell>
          <cell r="CO42" t="str">
            <v>CING 212</v>
          </cell>
        </row>
        <row r="43">
          <cell r="A43" t="str">
            <v>CSCR EXT 8</v>
          </cell>
          <cell r="P43" t="str">
            <v>FINAL FOUR 1</v>
          </cell>
          <cell r="W43">
            <v>409</v>
          </cell>
          <cell r="CO43" t="str">
            <v>CING 214</v>
          </cell>
        </row>
        <row r="44">
          <cell r="A44" t="str">
            <v>CSCR EXT 9</v>
          </cell>
          <cell r="P44" t="str">
            <v>FINAL FOUR 2</v>
          </cell>
          <cell r="W44">
            <v>410</v>
          </cell>
          <cell r="CO44" t="str">
            <v>CING 216</v>
          </cell>
        </row>
        <row r="45">
          <cell r="A45" t="str">
            <v>LG8 Comm 1</v>
          </cell>
          <cell r="P45" t="str">
            <v>FINAL FOUR 3</v>
          </cell>
          <cell r="W45">
            <v>411</v>
          </cell>
          <cell r="CO45" t="str">
            <v>CING 218</v>
          </cell>
        </row>
        <row r="46">
          <cell r="A46" t="str">
            <v>LG8 Comm 3</v>
          </cell>
          <cell r="P46" t="str">
            <v>FINAL FOUR 4</v>
          </cell>
          <cell r="W46">
            <v>412</v>
          </cell>
          <cell r="CO46" t="str">
            <v>CING 220</v>
          </cell>
        </row>
        <row r="47">
          <cell r="A47" t="str">
            <v>Gal 2 / Ext - TX1</v>
          </cell>
          <cell r="B47" t="str">
            <v>N/A</v>
          </cell>
          <cell r="P47" t="str">
            <v/>
          </cell>
          <cell r="W47">
            <v>413</v>
          </cell>
          <cell r="CO47" t="str">
            <v>CING 222</v>
          </cell>
        </row>
        <row r="48">
          <cell r="A48" t="str">
            <v>Gal 2 / Ext - TX3</v>
          </cell>
          <cell r="P48" t="str">
            <v/>
          </cell>
          <cell r="W48">
            <v>414</v>
          </cell>
          <cell r="CO48" t="str">
            <v>CING 224</v>
          </cell>
        </row>
        <row r="49">
          <cell r="A49" t="str">
            <v>Comms 2</v>
          </cell>
          <cell r="P49" t="str">
            <v/>
          </cell>
          <cell r="W49">
            <v>415</v>
          </cell>
          <cell r="CO49" t="str">
            <v>CING 226</v>
          </cell>
        </row>
        <row r="50">
          <cell r="P50" t="str">
            <v/>
          </cell>
          <cell r="W50">
            <v>416</v>
          </cell>
          <cell r="CO50" t="str">
            <v>CING 228</v>
          </cell>
        </row>
        <row r="51">
          <cell r="P51" t="str">
            <v/>
          </cell>
          <cell r="W51">
            <v>417</v>
          </cell>
          <cell r="CO51" t="str">
            <v>CING 230</v>
          </cell>
        </row>
        <row r="52">
          <cell r="P52" t="str">
            <v/>
          </cell>
          <cell r="W52">
            <v>418</v>
          </cell>
          <cell r="CO52" t="str">
            <v>CING 232</v>
          </cell>
        </row>
        <row r="53">
          <cell r="P53" t="str">
            <v/>
          </cell>
          <cell r="W53">
            <v>419</v>
          </cell>
          <cell r="CO53" t="str">
            <v>CING 234</v>
          </cell>
        </row>
        <row r="54">
          <cell r="P54" t="str">
            <v/>
          </cell>
          <cell r="W54">
            <v>420</v>
          </cell>
          <cell r="CO54" t="str">
            <v>CING 236</v>
          </cell>
        </row>
        <row r="55">
          <cell r="P55" t="str">
            <v/>
          </cell>
          <cell r="W55">
            <v>421</v>
          </cell>
          <cell r="CO55" t="str">
            <v>CING 238</v>
          </cell>
        </row>
        <row r="56">
          <cell r="P56" t="str">
            <v/>
          </cell>
          <cell r="W56">
            <v>422</v>
          </cell>
          <cell r="CO56" t="str">
            <v>CING 240</v>
          </cell>
        </row>
        <row r="57">
          <cell r="P57" t="str">
            <v/>
          </cell>
          <cell r="W57">
            <v>423</v>
          </cell>
          <cell r="CO57" t="str">
            <v>CING 242</v>
          </cell>
        </row>
        <row r="58">
          <cell r="P58" t="str">
            <v/>
          </cell>
          <cell r="W58">
            <v>424</v>
          </cell>
          <cell r="CO58" t="str">
            <v>CING 244</v>
          </cell>
        </row>
        <row r="59">
          <cell r="P59" t="str">
            <v/>
          </cell>
          <cell r="W59">
            <v>425</v>
          </cell>
          <cell r="CO59" t="str">
            <v>CING 246</v>
          </cell>
        </row>
        <row r="60">
          <cell r="P60" t="str">
            <v/>
          </cell>
          <cell r="W60">
            <v>426</v>
          </cell>
          <cell r="CO60" t="str">
            <v>CING 248</v>
          </cell>
        </row>
        <row r="61">
          <cell r="P61" t="str">
            <v/>
          </cell>
          <cell r="W61">
            <v>427</v>
          </cell>
          <cell r="CO61" t="str">
            <v>CING 250</v>
          </cell>
        </row>
        <row r="62">
          <cell r="P62" t="str">
            <v/>
          </cell>
          <cell r="W62">
            <v>428</v>
          </cell>
          <cell r="CO62" t="str">
            <v>CING 252</v>
          </cell>
        </row>
        <row r="63">
          <cell r="P63" t="str">
            <v/>
          </cell>
          <cell r="W63">
            <v>429</v>
          </cell>
          <cell r="CO63" t="str">
            <v>CING 254</v>
          </cell>
        </row>
        <row r="64">
          <cell r="P64" t="str">
            <v/>
          </cell>
          <cell r="W64">
            <v>430</v>
          </cell>
          <cell r="CO64" t="str">
            <v>CING 300</v>
          </cell>
        </row>
        <row r="65">
          <cell r="P65" t="str">
            <v/>
          </cell>
          <cell r="W65">
            <v>431</v>
          </cell>
          <cell r="CO65" t="str">
            <v>CING 302</v>
          </cell>
        </row>
        <row r="66">
          <cell r="P66" t="str">
            <v/>
          </cell>
          <cell r="W66">
            <v>432</v>
          </cell>
          <cell r="CO66" t="str">
            <v>CING 304</v>
          </cell>
        </row>
        <row r="67">
          <cell r="P67" t="str">
            <v/>
          </cell>
          <cell r="W67">
            <v>433</v>
          </cell>
          <cell r="CO67" t="str">
            <v>CING 306</v>
          </cell>
        </row>
        <row r="68">
          <cell r="P68" t="str">
            <v/>
          </cell>
          <cell r="W68">
            <v>434</v>
          </cell>
          <cell r="CO68" t="str">
            <v>CING 308</v>
          </cell>
        </row>
        <row r="69">
          <cell r="P69" t="str">
            <v/>
          </cell>
          <cell r="W69">
            <v>435</v>
          </cell>
          <cell r="CO69" t="str">
            <v>CING 310</v>
          </cell>
        </row>
        <row r="70">
          <cell r="P70" t="str">
            <v/>
          </cell>
          <cell r="W70">
            <v>436</v>
          </cell>
          <cell r="CO70" t="str">
            <v>CING 312</v>
          </cell>
        </row>
        <row r="71">
          <cell r="P71" t="str">
            <v/>
          </cell>
          <cell r="W71">
            <v>437</v>
          </cell>
          <cell r="CO71" t="str">
            <v>CING 314</v>
          </cell>
        </row>
        <row r="72">
          <cell r="P72" t="str">
            <v/>
          </cell>
          <cell r="W72">
            <v>438</v>
          </cell>
          <cell r="CO72" t="str">
            <v>CING 400</v>
          </cell>
        </row>
        <row r="73">
          <cell r="P73" t="str">
            <v/>
          </cell>
          <cell r="W73">
            <v>439</v>
          </cell>
          <cell r="CO73" t="str">
            <v>CING 402</v>
          </cell>
        </row>
        <row r="74">
          <cell r="P74" t="str">
            <v/>
          </cell>
          <cell r="W74">
            <v>440</v>
          </cell>
          <cell r="CO74" t="str">
            <v>CING 404</v>
          </cell>
        </row>
        <row r="75">
          <cell r="P75" t="str">
            <v/>
          </cell>
          <cell r="W75">
            <v>441</v>
          </cell>
          <cell r="CO75" t="str">
            <v>CING 406</v>
          </cell>
        </row>
        <row r="76">
          <cell r="P76" t="str">
            <v/>
          </cell>
          <cell r="W76">
            <v>442</v>
          </cell>
          <cell r="CO76" t="str">
            <v>CING 408</v>
          </cell>
        </row>
        <row r="77">
          <cell r="P77" t="str">
            <v/>
          </cell>
          <cell r="W77">
            <v>443</v>
          </cell>
          <cell r="CO77" t="str">
            <v>CING 410</v>
          </cell>
        </row>
        <row r="78">
          <cell r="P78" t="str">
            <v/>
          </cell>
          <cell r="W78">
            <v>444</v>
          </cell>
          <cell r="CO78" t="str">
            <v>CING 412</v>
          </cell>
        </row>
        <row r="79">
          <cell r="P79" t="str">
            <v/>
          </cell>
          <cell r="W79">
            <v>445</v>
          </cell>
          <cell r="CO79" t="str">
            <v>CING 414</v>
          </cell>
        </row>
        <row r="80">
          <cell r="P80" t="str">
            <v/>
          </cell>
          <cell r="W80">
            <v>446</v>
          </cell>
        </row>
        <row r="81">
          <cell r="P81" t="str">
            <v/>
          </cell>
          <cell r="W81">
            <v>447</v>
          </cell>
        </row>
        <row r="82">
          <cell r="P82" t="str">
            <v/>
          </cell>
          <cell r="W82">
            <v>448</v>
          </cell>
        </row>
        <row r="83">
          <cell r="P83" t="str">
            <v/>
          </cell>
          <cell r="W83">
            <v>449</v>
          </cell>
        </row>
        <row r="84">
          <cell r="P84" t="str">
            <v/>
          </cell>
          <cell r="W84">
            <v>450</v>
          </cell>
        </row>
        <row r="85">
          <cell r="P85" t="str">
            <v/>
          </cell>
          <cell r="W85">
            <v>451</v>
          </cell>
        </row>
        <row r="86">
          <cell r="P86" t="str">
            <v/>
          </cell>
          <cell r="W86">
            <v>452</v>
          </cell>
        </row>
        <row r="87">
          <cell r="P87" t="str">
            <v/>
          </cell>
          <cell r="W87">
            <v>453</v>
          </cell>
        </row>
        <row r="88">
          <cell r="P88" t="str">
            <v/>
          </cell>
          <cell r="W88">
            <v>454</v>
          </cell>
        </row>
        <row r="89">
          <cell r="P89" t="str">
            <v/>
          </cell>
          <cell r="W89">
            <v>455</v>
          </cell>
        </row>
        <row r="90">
          <cell r="P90" t="str">
            <v/>
          </cell>
          <cell r="W90">
            <v>456</v>
          </cell>
        </row>
        <row r="91">
          <cell r="P91" t="str">
            <v/>
          </cell>
          <cell r="W91">
            <v>457</v>
          </cell>
        </row>
        <row r="92">
          <cell r="P92" t="str">
            <v/>
          </cell>
          <cell r="W92">
            <v>458</v>
          </cell>
        </row>
        <row r="93">
          <cell r="P93" t="str">
            <v/>
          </cell>
          <cell r="W93">
            <v>459</v>
          </cell>
        </row>
        <row r="94">
          <cell r="P94" t="str">
            <v/>
          </cell>
          <cell r="W94">
            <v>460</v>
          </cell>
        </row>
        <row r="95">
          <cell r="P95" t="str">
            <v/>
          </cell>
          <cell r="W95">
            <v>461</v>
          </cell>
        </row>
        <row r="96">
          <cell r="P96" t="str">
            <v/>
          </cell>
          <cell r="W96">
            <v>462</v>
          </cell>
        </row>
        <row r="97">
          <cell r="P97" t="str">
            <v/>
          </cell>
          <cell r="W97">
            <v>463</v>
          </cell>
        </row>
        <row r="98">
          <cell r="P98" t="str">
            <v/>
          </cell>
          <cell r="W98">
            <v>464</v>
          </cell>
        </row>
        <row r="99">
          <cell r="P99" t="str">
            <v/>
          </cell>
          <cell r="W99">
            <v>465</v>
          </cell>
        </row>
        <row r="100">
          <cell r="P100" t="str">
            <v/>
          </cell>
          <cell r="W100">
            <v>466</v>
          </cell>
        </row>
        <row r="101">
          <cell r="P101" t="str">
            <v/>
          </cell>
          <cell r="W101">
            <v>467</v>
          </cell>
        </row>
        <row r="102">
          <cell r="P102" t="str">
            <v/>
          </cell>
          <cell r="W102">
            <v>468</v>
          </cell>
        </row>
        <row r="103">
          <cell r="P103" t="str">
            <v/>
          </cell>
          <cell r="W103">
            <v>469</v>
          </cell>
        </row>
        <row r="104">
          <cell r="P104" t="str">
            <v/>
          </cell>
          <cell r="W104">
            <v>470</v>
          </cell>
        </row>
        <row r="105">
          <cell r="P105" t="str">
            <v/>
          </cell>
          <cell r="W105">
            <v>471</v>
          </cell>
        </row>
        <row r="106">
          <cell r="P106" t="str">
            <v/>
          </cell>
          <cell r="W106">
            <v>472</v>
          </cell>
        </row>
        <row r="107">
          <cell r="P107" t="str">
            <v/>
          </cell>
          <cell r="W107">
            <v>473</v>
          </cell>
        </row>
        <row r="108">
          <cell r="P108" t="str">
            <v/>
          </cell>
          <cell r="W108">
            <v>474</v>
          </cell>
        </row>
        <row r="109">
          <cell r="P109" t="str">
            <v/>
          </cell>
          <cell r="W109">
            <v>475</v>
          </cell>
        </row>
        <row r="110">
          <cell r="P110" t="str">
            <v/>
          </cell>
          <cell r="W110">
            <v>476</v>
          </cell>
        </row>
        <row r="111">
          <cell r="P111" t="str">
            <v/>
          </cell>
          <cell r="W111">
            <v>477</v>
          </cell>
        </row>
        <row r="112">
          <cell r="P112" t="str">
            <v/>
          </cell>
          <cell r="W112">
            <v>478</v>
          </cell>
        </row>
        <row r="113">
          <cell r="P113" t="str">
            <v/>
          </cell>
          <cell r="W113">
            <v>479</v>
          </cell>
        </row>
        <row r="114">
          <cell r="W114">
            <v>480</v>
          </cell>
        </row>
        <row r="115">
          <cell r="W115">
            <v>481</v>
          </cell>
        </row>
        <row r="116">
          <cell r="W116">
            <v>482</v>
          </cell>
        </row>
        <row r="117">
          <cell r="W117">
            <v>483</v>
          </cell>
        </row>
        <row r="118">
          <cell r="W118">
            <v>484</v>
          </cell>
        </row>
        <row r="119">
          <cell r="W119">
            <v>485</v>
          </cell>
        </row>
        <row r="120">
          <cell r="W120">
            <v>486</v>
          </cell>
        </row>
        <row r="121">
          <cell r="W121">
            <v>487</v>
          </cell>
        </row>
        <row r="122">
          <cell r="W122">
            <v>488</v>
          </cell>
        </row>
        <row r="123">
          <cell r="W123">
            <v>489</v>
          </cell>
        </row>
        <row r="124">
          <cell r="W124">
            <v>490</v>
          </cell>
        </row>
        <row r="125">
          <cell r="W125">
            <v>491</v>
          </cell>
        </row>
        <row r="126">
          <cell r="W126">
            <v>492</v>
          </cell>
        </row>
        <row r="127">
          <cell r="W127">
            <v>493</v>
          </cell>
        </row>
        <row r="128">
          <cell r="W128">
            <v>494</v>
          </cell>
        </row>
        <row r="129">
          <cell r="W129">
            <v>495</v>
          </cell>
        </row>
        <row r="130">
          <cell r="W130">
            <v>496</v>
          </cell>
        </row>
        <row r="131">
          <cell r="W131">
            <v>497</v>
          </cell>
        </row>
        <row r="132">
          <cell r="W132">
            <v>498</v>
          </cell>
        </row>
        <row r="133">
          <cell r="W133">
            <v>499</v>
          </cell>
        </row>
        <row r="134">
          <cell r="W134">
            <v>500</v>
          </cell>
        </row>
        <row r="135">
          <cell r="W135">
            <v>501</v>
          </cell>
        </row>
        <row r="136">
          <cell r="W136">
            <v>502</v>
          </cell>
        </row>
        <row r="137">
          <cell r="W137">
            <v>503</v>
          </cell>
        </row>
        <row r="138">
          <cell r="W138">
            <v>504</v>
          </cell>
        </row>
        <row r="139">
          <cell r="W139">
            <v>505</v>
          </cell>
        </row>
        <row r="140">
          <cell r="W140">
            <v>506</v>
          </cell>
        </row>
        <row r="141">
          <cell r="W141">
            <v>507</v>
          </cell>
        </row>
        <row r="142">
          <cell r="W142">
            <v>508</v>
          </cell>
        </row>
        <row r="143">
          <cell r="W143">
            <v>509</v>
          </cell>
        </row>
        <row r="144">
          <cell r="W144">
            <v>510</v>
          </cell>
        </row>
        <row r="145">
          <cell r="W145">
            <v>511</v>
          </cell>
        </row>
        <row r="146">
          <cell r="W146">
            <v>512</v>
          </cell>
        </row>
        <row r="147">
          <cell r="W147">
            <v>513</v>
          </cell>
        </row>
        <row r="148">
          <cell r="W148">
            <v>514</v>
          </cell>
        </row>
        <row r="149">
          <cell r="W149">
            <v>515</v>
          </cell>
        </row>
        <row r="150">
          <cell r="W150">
            <v>516</v>
          </cell>
        </row>
        <row r="151">
          <cell r="W151">
            <v>517</v>
          </cell>
        </row>
        <row r="152">
          <cell r="W152">
            <v>518</v>
          </cell>
        </row>
        <row r="153">
          <cell r="W153">
            <v>519</v>
          </cell>
        </row>
        <row r="154">
          <cell r="W154">
            <v>520</v>
          </cell>
        </row>
        <row r="155">
          <cell r="W155">
            <v>521</v>
          </cell>
        </row>
        <row r="156">
          <cell r="W156">
            <v>522</v>
          </cell>
        </row>
        <row r="157">
          <cell r="W157">
            <v>523</v>
          </cell>
        </row>
        <row r="158">
          <cell r="W158">
            <v>524</v>
          </cell>
        </row>
        <row r="159">
          <cell r="W159">
            <v>525</v>
          </cell>
        </row>
        <row r="160">
          <cell r="W160">
            <v>526</v>
          </cell>
        </row>
        <row r="161">
          <cell r="W161">
            <v>527</v>
          </cell>
        </row>
        <row r="162">
          <cell r="W162">
            <v>528</v>
          </cell>
        </row>
        <row r="163">
          <cell r="W163">
            <v>529</v>
          </cell>
        </row>
        <row r="164">
          <cell r="W164">
            <v>530</v>
          </cell>
        </row>
        <row r="165">
          <cell r="W165">
            <v>531</v>
          </cell>
        </row>
        <row r="166">
          <cell r="W166">
            <v>532</v>
          </cell>
        </row>
        <row r="167">
          <cell r="W167">
            <v>533</v>
          </cell>
        </row>
        <row r="168">
          <cell r="W168">
            <v>534</v>
          </cell>
        </row>
        <row r="169">
          <cell r="W169">
            <v>535</v>
          </cell>
        </row>
        <row r="170">
          <cell r="W170">
            <v>536</v>
          </cell>
        </row>
        <row r="171">
          <cell r="W171">
            <v>537</v>
          </cell>
        </row>
        <row r="172">
          <cell r="W172">
            <v>538</v>
          </cell>
        </row>
        <row r="173">
          <cell r="W173">
            <v>539</v>
          </cell>
        </row>
        <row r="174">
          <cell r="W174">
            <v>540</v>
          </cell>
        </row>
        <row r="175">
          <cell r="W175">
            <v>541</v>
          </cell>
        </row>
        <row r="176">
          <cell r="W176">
            <v>542</v>
          </cell>
        </row>
        <row r="177">
          <cell r="W177">
            <v>543</v>
          </cell>
        </row>
        <row r="178">
          <cell r="W178">
            <v>544</v>
          </cell>
        </row>
        <row r="179">
          <cell r="W179">
            <v>545</v>
          </cell>
        </row>
        <row r="180">
          <cell r="W180">
            <v>546</v>
          </cell>
        </row>
        <row r="181">
          <cell r="W181">
            <v>547</v>
          </cell>
        </row>
        <row r="182">
          <cell r="W182">
            <v>548</v>
          </cell>
        </row>
        <row r="183">
          <cell r="W183">
            <v>549</v>
          </cell>
        </row>
        <row r="184">
          <cell r="W184">
            <v>550</v>
          </cell>
        </row>
        <row r="185">
          <cell r="W185">
            <v>551</v>
          </cell>
        </row>
        <row r="186">
          <cell r="W186">
            <v>552</v>
          </cell>
        </row>
        <row r="187">
          <cell r="W187">
            <v>553</v>
          </cell>
        </row>
        <row r="188">
          <cell r="W188">
            <v>554</v>
          </cell>
        </row>
        <row r="189">
          <cell r="W189">
            <v>555</v>
          </cell>
        </row>
        <row r="190">
          <cell r="W190">
            <v>556</v>
          </cell>
        </row>
        <row r="191">
          <cell r="W191">
            <v>557</v>
          </cell>
        </row>
        <row r="192">
          <cell r="W192">
            <v>558</v>
          </cell>
        </row>
        <row r="193">
          <cell r="W193">
            <v>559</v>
          </cell>
        </row>
        <row r="194">
          <cell r="W194">
            <v>560</v>
          </cell>
        </row>
        <row r="195">
          <cell r="W195">
            <v>561</v>
          </cell>
        </row>
        <row r="196">
          <cell r="W196">
            <v>562</v>
          </cell>
        </row>
        <row r="197">
          <cell r="W197">
            <v>563</v>
          </cell>
        </row>
        <row r="198">
          <cell r="W198">
            <v>564</v>
          </cell>
        </row>
        <row r="199">
          <cell r="W199">
            <v>565</v>
          </cell>
        </row>
        <row r="200">
          <cell r="W200">
            <v>566</v>
          </cell>
        </row>
        <row r="201">
          <cell r="W201">
            <v>567</v>
          </cell>
        </row>
        <row r="202">
          <cell r="W202">
            <v>568</v>
          </cell>
        </row>
        <row r="203">
          <cell r="W203">
            <v>569</v>
          </cell>
        </row>
        <row r="204">
          <cell r="W204">
            <v>570</v>
          </cell>
        </row>
        <row r="205">
          <cell r="W205">
            <v>571</v>
          </cell>
        </row>
        <row r="206">
          <cell r="W206" t="str">
            <v/>
          </cell>
        </row>
        <row r="207">
          <cell r="W207" t="str">
            <v/>
          </cell>
        </row>
        <row r="208">
          <cell r="W208" t="str">
            <v/>
          </cell>
        </row>
        <row r="209">
          <cell r="W209" t="str">
            <v/>
          </cell>
        </row>
        <row r="210">
          <cell r="W210" t="str">
            <v/>
          </cell>
        </row>
        <row r="211">
          <cell r="W211" t="str">
            <v/>
          </cell>
        </row>
        <row r="212">
          <cell r="W212" t="str">
            <v/>
          </cell>
        </row>
        <row r="213">
          <cell r="W213" t="str">
            <v/>
          </cell>
        </row>
        <row r="214">
          <cell r="W214" t="str">
            <v/>
          </cell>
        </row>
        <row r="215">
          <cell r="W215" t="str">
            <v/>
          </cell>
        </row>
        <row r="216">
          <cell r="W216" t="str">
            <v/>
          </cell>
        </row>
        <row r="217">
          <cell r="W217" t="str">
            <v/>
          </cell>
        </row>
        <row r="218">
          <cell r="W218" t="str">
            <v/>
          </cell>
        </row>
        <row r="219">
          <cell r="W219" t="str">
            <v/>
          </cell>
        </row>
        <row r="220">
          <cell r="W220" t="str">
            <v/>
          </cell>
        </row>
        <row r="221">
          <cell r="W221" t="str">
            <v/>
          </cell>
        </row>
        <row r="222">
          <cell r="W222" t="str">
            <v/>
          </cell>
        </row>
        <row r="223">
          <cell r="W223" t="str">
            <v/>
          </cell>
        </row>
        <row r="224">
          <cell r="W224" t="str">
            <v/>
          </cell>
        </row>
        <row r="225">
          <cell r="W225" t="str">
            <v/>
          </cell>
        </row>
        <row r="226">
          <cell r="W226" t="str">
            <v/>
          </cell>
        </row>
        <row r="227">
          <cell r="W227" t="str">
            <v/>
          </cell>
        </row>
        <row r="228">
          <cell r="W228" t="str">
            <v/>
          </cell>
        </row>
        <row r="229">
          <cell r="W229" t="str">
            <v/>
          </cell>
        </row>
        <row r="230">
          <cell r="W230" t="str">
            <v/>
          </cell>
        </row>
        <row r="231">
          <cell r="W231" t="str">
            <v/>
          </cell>
        </row>
        <row r="232">
          <cell r="W232" t="str">
            <v/>
          </cell>
        </row>
        <row r="233">
          <cell r="W233" t="str">
            <v/>
          </cell>
        </row>
        <row r="234">
          <cell r="W234" t="str">
            <v/>
          </cell>
        </row>
        <row r="235">
          <cell r="W235" t="str">
            <v/>
          </cell>
        </row>
        <row r="236">
          <cell r="W236" t="str">
            <v/>
          </cell>
        </row>
        <row r="237">
          <cell r="W237" t="str">
            <v/>
          </cell>
        </row>
        <row r="238">
          <cell r="W238" t="str">
            <v/>
          </cell>
        </row>
        <row r="239">
          <cell r="W239" t="str">
            <v/>
          </cell>
        </row>
        <row r="240">
          <cell r="W240" t="str">
            <v/>
          </cell>
        </row>
        <row r="241">
          <cell r="W241" t="str">
            <v/>
          </cell>
        </row>
        <row r="242">
          <cell r="W242" t="str">
            <v/>
          </cell>
        </row>
        <row r="243">
          <cell r="W243" t="str">
            <v/>
          </cell>
        </row>
        <row r="244">
          <cell r="W244" t="str">
            <v/>
          </cell>
        </row>
        <row r="245">
          <cell r="W245" t="str">
            <v/>
          </cell>
        </row>
        <row r="246">
          <cell r="W246" t="str">
            <v/>
          </cell>
        </row>
        <row r="247">
          <cell r="W247" t="str">
            <v/>
          </cell>
        </row>
        <row r="248">
          <cell r="W248" t="str">
            <v/>
          </cell>
        </row>
        <row r="249">
          <cell r="W249" t="str">
            <v/>
          </cell>
        </row>
        <row r="250">
          <cell r="W250" t="str">
            <v/>
          </cell>
        </row>
        <row r="251">
          <cell r="W251" t="str">
            <v/>
          </cell>
        </row>
        <row r="252">
          <cell r="W252" t="str">
            <v/>
          </cell>
        </row>
        <row r="253">
          <cell r="W253" t="str">
            <v/>
          </cell>
        </row>
        <row r="254">
          <cell r="W254" t="str">
            <v/>
          </cell>
        </row>
        <row r="255">
          <cell r="W255" t="str">
            <v/>
          </cell>
        </row>
        <row r="256">
          <cell r="W256" t="str">
            <v/>
          </cell>
        </row>
        <row r="257">
          <cell r="W257" t="str">
            <v/>
          </cell>
        </row>
        <row r="258">
          <cell r="W258" t="str">
            <v/>
          </cell>
        </row>
        <row r="259">
          <cell r="W259" t="str">
            <v/>
          </cell>
        </row>
        <row r="260">
          <cell r="W260" t="str">
            <v/>
          </cell>
        </row>
        <row r="261">
          <cell r="W261" t="str">
            <v/>
          </cell>
        </row>
        <row r="262">
          <cell r="W262" t="str">
            <v/>
          </cell>
        </row>
        <row r="263">
          <cell r="W263" t="str">
            <v/>
          </cell>
        </row>
        <row r="264">
          <cell r="W264" t="str">
            <v/>
          </cell>
        </row>
        <row r="265">
          <cell r="W265" t="str">
            <v/>
          </cell>
        </row>
        <row r="266">
          <cell r="W266" t="str">
            <v/>
          </cell>
        </row>
        <row r="267">
          <cell r="W267" t="str">
            <v/>
          </cell>
        </row>
        <row r="268">
          <cell r="W268" t="str">
            <v/>
          </cell>
        </row>
        <row r="269">
          <cell r="W269" t="str">
            <v/>
          </cell>
        </row>
        <row r="270">
          <cell r="W270" t="str">
            <v/>
          </cell>
        </row>
        <row r="271">
          <cell r="W271" t="str">
            <v/>
          </cell>
        </row>
        <row r="272">
          <cell r="W272" t="str">
            <v/>
          </cell>
        </row>
        <row r="273">
          <cell r="W273" t="str">
            <v/>
          </cell>
        </row>
        <row r="274">
          <cell r="W274" t="str">
            <v/>
          </cell>
        </row>
        <row r="275">
          <cell r="W275" t="str">
            <v/>
          </cell>
        </row>
        <row r="276">
          <cell r="W276" t="str">
            <v/>
          </cell>
        </row>
        <row r="277">
          <cell r="W277" t="str">
            <v/>
          </cell>
        </row>
        <row r="278">
          <cell r="W278" t="str">
            <v/>
          </cell>
        </row>
        <row r="279">
          <cell r="W279" t="str">
            <v/>
          </cell>
        </row>
        <row r="280">
          <cell r="W280" t="str">
            <v/>
          </cell>
        </row>
        <row r="281">
          <cell r="W281" t="str">
            <v/>
          </cell>
        </row>
        <row r="282">
          <cell r="W282" t="str">
            <v/>
          </cell>
        </row>
        <row r="283">
          <cell r="W283" t="str">
            <v/>
          </cell>
        </row>
        <row r="284">
          <cell r="W284" t="str">
            <v/>
          </cell>
        </row>
        <row r="285">
          <cell r="W285" t="str">
            <v/>
          </cell>
        </row>
        <row r="286">
          <cell r="W286" t="str">
            <v/>
          </cell>
        </row>
        <row r="287">
          <cell r="W287" t="str">
            <v/>
          </cell>
        </row>
        <row r="288">
          <cell r="W288" t="str">
            <v/>
          </cell>
        </row>
        <row r="289">
          <cell r="W289" t="str">
            <v/>
          </cell>
        </row>
        <row r="290">
          <cell r="W290" t="str">
            <v/>
          </cell>
        </row>
        <row r="291">
          <cell r="W291" t="str">
            <v/>
          </cell>
        </row>
        <row r="292">
          <cell r="W292" t="str">
            <v/>
          </cell>
        </row>
        <row r="293">
          <cell r="W293" t="str">
            <v/>
          </cell>
        </row>
        <row r="294">
          <cell r="W294" t="str">
            <v/>
          </cell>
        </row>
        <row r="295">
          <cell r="W295" t="str">
            <v/>
          </cell>
        </row>
        <row r="296">
          <cell r="W296" t="str">
            <v/>
          </cell>
        </row>
        <row r="297">
          <cell r="W297" t="str">
            <v/>
          </cell>
        </row>
        <row r="298">
          <cell r="W298" t="str">
            <v/>
          </cell>
        </row>
        <row r="299">
          <cell r="W299" t="str">
            <v/>
          </cell>
        </row>
        <row r="300">
          <cell r="W300" t="str">
            <v/>
          </cell>
        </row>
        <row r="301">
          <cell r="W301" t="str">
            <v/>
          </cell>
        </row>
        <row r="302">
          <cell r="W302" t="str">
            <v/>
          </cell>
        </row>
        <row r="303">
          <cell r="W303" t="str">
            <v/>
          </cell>
        </row>
        <row r="304">
          <cell r="W304" t="str">
            <v/>
          </cell>
        </row>
        <row r="305">
          <cell r="W305" t="str">
            <v/>
          </cell>
        </row>
        <row r="306">
          <cell r="W306" t="str">
            <v/>
          </cell>
        </row>
        <row r="307">
          <cell r="W307" t="str">
            <v/>
          </cell>
        </row>
        <row r="308">
          <cell r="W308" t="str">
            <v/>
          </cell>
        </row>
        <row r="309">
          <cell r="W309" t="str">
            <v/>
          </cell>
        </row>
        <row r="310">
          <cell r="W310" t="str">
            <v/>
          </cell>
        </row>
        <row r="311">
          <cell r="W311" t="str">
            <v/>
          </cell>
        </row>
        <row r="312">
          <cell r="W312" t="str">
            <v/>
          </cell>
        </row>
        <row r="313">
          <cell r="W313" t="str">
            <v/>
          </cell>
        </row>
        <row r="314">
          <cell r="W314" t="str">
            <v/>
          </cell>
        </row>
        <row r="315">
          <cell r="W315" t="str">
            <v/>
          </cell>
        </row>
        <row r="316">
          <cell r="W316" t="str">
            <v/>
          </cell>
        </row>
        <row r="317">
          <cell r="W317" t="str">
            <v/>
          </cell>
        </row>
        <row r="318">
          <cell r="W318" t="str">
            <v/>
          </cell>
        </row>
        <row r="319">
          <cell r="W319" t="str">
            <v/>
          </cell>
        </row>
        <row r="320">
          <cell r="W320" t="str">
            <v/>
          </cell>
        </row>
        <row r="321">
          <cell r="W321" t="str">
            <v/>
          </cell>
        </row>
        <row r="322">
          <cell r="W322" t="str">
            <v/>
          </cell>
        </row>
        <row r="323">
          <cell r="W323" t="str">
            <v/>
          </cell>
        </row>
        <row r="324">
          <cell r="W324" t="str">
            <v/>
          </cell>
        </row>
        <row r="325">
          <cell r="W325" t="str">
            <v/>
          </cell>
        </row>
        <row r="326">
          <cell r="W326" t="str">
            <v/>
          </cell>
        </row>
        <row r="327">
          <cell r="W327" t="str">
            <v/>
          </cell>
        </row>
        <row r="328">
          <cell r="W328" t="str">
            <v/>
          </cell>
        </row>
        <row r="329">
          <cell r="W329" t="str">
            <v/>
          </cell>
        </row>
        <row r="330">
          <cell r="W330" t="str">
            <v/>
          </cell>
        </row>
        <row r="331">
          <cell r="W331" t="str">
            <v/>
          </cell>
        </row>
        <row r="332">
          <cell r="W332" t="str">
            <v/>
          </cell>
        </row>
        <row r="333">
          <cell r="W333" t="str">
            <v/>
          </cell>
        </row>
        <row r="334">
          <cell r="W334" t="str">
            <v/>
          </cell>
        </row>
        <row r="335">
          <cell r="W335" t="str">
            <v/>
          </cell>
        </row>
        <row r="336">
          <cell r="W336" t="str">
            <v/>
          </cell>
        </row>
        <row r="337">
          <cell r="W337" t="str">
            <v/>
          </cell>
        </row>
        <row r="338">
          <cell r="W338" t="str">
            <v/>
          </cell>
        </row>
        <row r="339">
          <cell r="W339" t="str">
            <v/>
          </cell>
        </row>
        <row r="340">
          <cell r="W340" t="str">
            <v/>
          </cell>
        </row>
        <row r="341">
          <cell r="W341" t="str">
            <v/>
          </cell>
        </row>
        <row r="342">
          <cell r="W342" t="str">
            <v/>
          </cell>
        </row>
        <row r="343">
          <cell r="W343" t="str">
            <v/>
          </cell>
        </row>
        <row r="344">
          <cell r="W344" t="str">
            <v/>
          </cell>
        </row>
        <row r="345">
          <cell r="W345" t="str">
            <v/>
          </cell>
        </row>
        <row r="346">
          <cell r="W346" t="str">
            <v/>
          </cell>
        </row>
        <row r="347">
          <cell r="W347" t="str">
            <v/>
          </cell>
        </row>
        <row r="348">
          <cell r="W348" t="str">
            <v/>
          </cell>
        </row>
        <row r="349">
          <cell r="W349" t="str">
            <v/>
          </cell>
        </row>
        <row r="350">
          <cell r="W350" t="str">
            <v/>
          </cell>
        </row>
        <row r="351">
          <cell r="W351" t="str">
            <v/>
          </cell>
        </row>
        <row r="352">
          <cell r="W352" t="str">
            <v/>
          </cell>
        </row>
        <row r="353">
          <cell r="W353" t="str">
            <v/>
          </cell>
        </row>
        <row r="354">
          <cell r="W354" t="str">
            <v/>
          </cell>
        </row>
        <row r="355">
          <cell r="W355" t="str">
            <v/>
          </cell>
        </row>
        <row r="356">
          <cell r="W356" t="str">
            <v/>
          </cell>
        </row>
        <row r="357">
          <cell r="W357" t="str">
            <v/>
          </cell>
        </row>
        <row r="358">
          <cell r="W358" t="str">
            <v/>
          </cell>
        </row>
        <row r="359">
          <cell r="W359" t="str">
            <v/>
          </cell>
        </row>
        <row r="360">
          <cell r="W360" t="str">
            <v/>
          </cell>
        </row>
        <row r="361">
          <cell r="W361" t="str">
            <v/>
          </cell>
        </row>
        <row r="362">
          <cell r="W362" t="str">
            <v/>
          </cell>
        </row>
        <row r="363">
          <cell r="W363" t="str">
            <v/>
          </cell>
        </row>
        <row r="364">
          <cell r="W364" t="str">
            <v/>
          </cell>
        </row>
        <row r="365">
          <cell r="W365" t="str">
            <v/>
          </cell>
        </row>
        <row r="366">
          <cell r="W366" t="str">
            <v/>
          </cell>
        </row>
        <row r="367">
          <cell r="W367" t="str">
            <v/>
          </cell>
        </row>
        <row r="368">
          <cell r="W368" t="str">
            <v/>
          </cell>
        </row>
        <row r="369">
          <cell r="W369" t="str">
            <v/>
          </cell>
        </row>
      </sheetData>
      <sheetData sheetId="23">
        <row r="3">
          <cell r="B3" t="str">
            <v>N:\Technical Services\EuroLeague\Euroleague 2024-25\Match Selection Emails\</v>
          </cell>
        </row>
      </sheetData>
      <sheetData sheetId="24"/>
      <sheetData sheetId="25"/>
      <sheetData sheetId="26">
        <row r="3">
          <cell r="A3" t="str">
            <v>LA America, Fanduel</v>
          </cell>
        </row>
        <row r="4">
          <cell r="A4" t="str">
            <v>Monaco, TVMonaco</v>
          </cell>
        </row>
        <row r="5">
          <cell r="A5" t="str">
            <v>USA, ESPN</v>
          </cell>
        </row>
        <row r="6">
          <cell r="A6" t="str">
            <v>Balkans, Sportklub</v>
          </cell>
        </row>
        <row r="7">
          <cell r="A7" t="str">
            <v>Baltics, TV3 Sport - Saran</v>
          </cell>
        </row>
        <row r="8">
          <cell r="A8" t="str">
            <v>Belgium, BETV</v>
          </cell>
        </row>
        <row r="9">
          <cell r="A9" t="str">
            <v>Sub Saharan, New World TV</v>
          </cell>
        </row>
        <row r="10">
          <cell r="A10" t="str">
            <v>Bulgaria, MTEL Nova (A1)</v>
          </cell>
        </row>
        <row r="11">
          <cell r="A11" t="str">
            <v>China, ESPN</v>
          </cell>
        </row>
        <row r="12">
          <cell r="A12" t="str">
            <v>China , CCTV</v>
          </cell>
        </row>
        <row r="13">
          <cell r="A13" t="str">
            <v>Czech Republic, O2 Sport</v>
          </cell>
        </row>
        <row r="14">
          <cell r="A14" t="str">
            <v>Eurasia, Setanta via Adjarasport</v>
          </cell>
        </row>
        <row r="15">
          <cell r="A15" t="str">
            <v>France, Skweek</v>
          </cell>
        </row>
        <row r="16">
          <cell r="A16" t="str">
            <v>Georgia, GMG - silkmedia</v>
          </cell>
        </row>
        <row r="17">
          <cell r="A17" t="str">
            <v>Germany, Deutsche Telekom - Magenta</v>
          </cell>
        </row>
        <row r="18">
          <cell r="A18" t="str">
            <v>Greece, Nova</v>
          </cell>
        </row>
        <row r="19">
          <cell r="A19" t="str">
            <v>Israel, Sports5</v>
          </cell>
        </row>
        <row r="20">
          <cell r="A20" t="str">
            <v>Italy, Sky Italia</v>
          </cell>
        </row>
        <row r="21">
          <cell r="A21" t="str">
            <v>Italy, DAZN (Stream)</v>
          </cell>
        </row>
        <row r="22">
          <cell r="A22" t="str">
            <v>Lithuania, LRT</v>
          </cell>
        </row>
        <row r="23">
          <cell r="A23" t="str">
            <v>MENA, Starzplay</v>
          </cell>
        </row>
        <row r="24">
          <cell r="A24" t="str">
            <v>Nigeria, Sporty TV</v>
          </cell>
        </row>
        <row r="25">
          <cell r="A25" t="str">
            <v>Philippines, TapSports</v>
          </cell>
        </row>
        <row r="26">
          <cell r="A26" t="str">
            <v xml:space="preserve">Poland, Polsat </v>
          </cell>
        </row>
        <row r="27">
          <cell r="A27" t="str">
            <v>Portugal, Sport TV</v>
          </cell>
        </row>
        <row r="28">
          <cell r="A28" t="str">
            <v>Scandinavia (Nordics), Viasat</v>
          </cell>
        </row>
        <row r="29">
          <cell r="A29" t="str">
            <v>Spain, Movistar</v>
          </cell>
        </row>
        <row r="30">
          <cell r="A30" t="str">
            <v>Thailand, 3BBTV (Mono)</v>
          </cell>
        </row>
        <row r="31">
          <cell r="A31" t="str">
            <v>Turkey, SARAN</v>
          </cell>
        </row>
        <row r="32">
          <cell r="A32" t="str">
            <v>Russia, OKKO</v>
          </cell>
        </row>
        <row r="33">
          <cell r="A33" t="str">
            <v>India, Fancode</v>
          </cell>
        </row>
        <row r="34">
          <cell r="A34" t="str">
            <v>Ukraine, Setanta</v>
          </cell>
        </row>
        <row r="35">
          <cell r="A35" t="str">
            <v>Latam America, DirectTV</v>
          </cell>
        </row>
        <row r="36">
          <cell r="A36" t="str">
            <v>UK, IMG Arena</v>
          </cell>
        </row>
        <row r="37">
          <cell r="A37" t="str">
            <v>Azerbaijan, Idman TV</v>
          </cell>
        </row>
        <row r="38">
          <cell r="A38" t="str">
            <v xml:space="preserve">Streaming, WSC </v>
          </cell>
        </row>
        <row r="39">
          <cell r="A39" t="str">
            <v>Chilie, CDO</v>
          </cell>
        </row>
        <row r="40">
          <cell r="A40" t="str">
            <v>Belgium, Sport 10 CSI Sports Media</v>
          </cell>
        </row>
        <row r="41">
          <cell r="A41" t="str">
            <v>Albania, RTSH Sport</v>
          </cell>
        </row>
        <row r="42">
          <cell r="A42" t="str">
            <v xml:space="preserve">Brazil , Bandsports </v>
          </cell>
        </row>
        <row r="43">
          <cell r="A43" t="str">
            <v>Armenia, Vivaro</v>
          </cell>
        </row>
        <row r="44">
          <cell r="A44" t="str">
            <v>Kosovo, Kutjesa</v>
          </cell>
        </row>
        <row r="45">
          <cell r="A45" t="str">
            <v>China, SDTV</v>
          </cell>
        </row>
        <row r="46">
          <cell r="A46" t="str">
            <v>Italy, DAZN</v>
          </cell>
        </row>
        <row r="47">
          <cell r="A47" t="str">
            <v>Argentina, Taurocast</v>
          </cell>
        </row>
        <row r="48">
          <cell r="A48" t="str">
            <v>IMG, Jac Vmix</v>
          </cell>
        </row>
        <row r="49">
          <cell r="A49" t="str">
            <v xml:space="preserve">Gemrany, Magenta </v>
          </cell>
        </row>
        <row r="50">
          <cell r="A50" t="str">
            <v>China, ESPN</v>
          </cell>
        </row>
        <row r="51">
          <cell r="A51" t="str">
            <v xml:space="preserve">Monaco, TVMonaco </v>
          </cell>
        </row>
        <row r="52">
          <cell r="A52" t="str">
            <v>Serbia, TV Arena</v>
          </cell>
        </row>
        <row r="53">
          <cell r="A53" t="str">
            <v>MENA, Starzplay</v>
          </cell>
        </row>
        <row r="54">
          <cell r="A54" t="str">
            <v>Romania, Pro TV</v>
          </cell>
        </row>
        <row r="55">
          <cell r="A55" t="str">
            <v>Taiwan, Sportcast</v>
          </cell>
        </row>
        <row r="56">
          <cell r="A56" t="str">
            <v xml:space="preserve">, </v>
          </cell>
        </row>
        <row r="57">
          <cell r="A57" t="str">
            <v xml:space="preserve">, </v>
          </cell>
        </row>
      </sheetData>
      <sheetData sheetId="27">
        <row r="3">
          <cell r="A3">
            <v>1</v>
          </cell>
          <cell r="B3" t="str">
            <v>-</v>
          </cell>
          <cell r="C3" t="str">
            <v>-</v>
          </cell>
          <cell r="D3" t="str">
            <v>-</v>
          </cell>
          <cell r="E3" t="str">
            <v>-</v>
          </cell>
          <cell r="F3" t="str">
            <v>-</v>
          </cell>
          <cell r="G3" t="str">
            <v>-</v>
          </cell>
          <cell r="H3" t="str">
            <v/>
          </cell>
        </row>
        <row r="4">
          <cell r="A4">
            <v>2</v>
          </cell>
          <cell r="B4" t="str">
            <v>1</v>
          </cell>
          <cell r="C4">
            <v>45568</v>
          </cell>
          <cell r="D4">
            <v>0.78125</v>
          </cell>
          <cell r="E4">
            <v>0.69791666666666663</v>
          </cell>
          <cell r="F4" t="str">
            <v>ALBA BERLIN</v>
          </cell>
          <cell r="G4" t="str">
            <v>PANATHINAIKOS AKTOR ATHENS</v>
          </cell>
          <cell r="H4" t="str">
            <v>Norm+Post</v>
          </cell>
        </row>
        <row r="5">
          <cell r="A5">
            <v>3</v>
          </cell>
          <cell r="B5" t="str">
            <v>1</v>
          </cell>
          <cell r="C5">
            <v>45568</v>
          </cell>
          <cell r="D5">
            <v>0.79166666666666663</v>
          </cell>
          <cell r="E5">
            <v>0.70833333333333337</v>
          </cell>
          <cell r="F5" t="str">
            <v>AS MONACO</v>
          </cell>
          <cell r="G5" t="str">
            <v>EA7 EMPORIO ARMANI MILAN</v>
          </cell>
          <cell r="H5" t="str">
            <v>Norm</v>
          </cell>
        </row>
        <row r="6">
          <cell r="A6">
            <v>4</v>
          </cell>
          <cell r="B6" t="str">
            <v>1</v>
          </cell>
          <cell r="C6">
            <v>45568</v>
          </cell>
          <cell r="D6">
            <v>0.83333333333333337</v>
          </cell>
          <cell r="E6">
            <v>0.70833333333333337</v>
          </cell>
          <cell r="F6" t="str">
            <v>ZALGIRIS KAUNAS</v>
          </cell>
          <cell r="G6" t="str">
            <v>FC BARCELONA</v>
          </cell>
          <cell r="H6" t="str">
            <v>Norm</v>
          </cell>
        </row>
        <row r="7">
          <cell r="A7">
            <v>5</v>
          </cell>
          <cell r="B7" t="str">
            <v>1</v>
          </cell>
          <cell r="C7">
            <v>45568</v>
          </cell>
          <cell r="D7">
            <v>0.85416666666666663</v>
          </cell>
          <cell r="E7">
            <v>0.77083333333333337</v>
          </cell>
          <cell r="F7" t="str">
            <v>BASKONIA VITORIA-GASTEIZ</v>
          </cell>
          <cell r="G7" t="str">
            <v>PARTIZAN MOZZART BET BELGRADE</v>
          </cell>
          <cell r="H7" t="str">
            <v>Norm</v>
          </cell>
        </row>
        <row r="8">
          <cell r="A8">
            <v>6</v>
          </cell>
          <cell r="B8" t="str">
            <v>1</v>
          </cell>
          <cell r="C8">
            <v>45568</v>
          </cell>
          <cell r="D8">
            <v>0.86458333333333337</v>
          </cell>
          <cell r="E8">
            <v>0.78125</v>
          </cell>
          <cell r="F8" t="str">
            <v>FC BAYERN MUNICH</v>
          </cell>
          <cell r="G8" t="str">
            <v>REAL MADRID</v>
          </cell>
          <cell r="H8" t="str">
            <v>Pre+Norm+Post</v>
          </cell>
        </row>
        <row r="9">
          <cell r="A9">
            <v>7</v>
          </cell>
          <cell r="B9" t="str">
            <v>1</v>
          </cell>
          <cell r="C9">
            <v>45568</v>
          </cell>
          <cell r="D9">
            <v>0.875</v>
          </cell>
          <cell r="E9">
            <v>0.79166666666666663</v>
          </cell>
          <cell r="F9" t="str">
            <v>MACCABI PLAYTIKA TEL AVIV</v>
          </cell>
          <cell r="G9" t="str">
            <v>LDLC ASVEL VILLEURBANNE</v>
          </cell>
          <cell r="H9" t="str">
            <v>GOW</v>
          </cell>
        </row>
        <row r="10">
          <cell r="A10">
            <v>8</v>
          </cell>
          <cell r="B10" t="str">
            <v>1</v>
          </cell>
          <cell r="C10">
            <v>45569</v>
          </cell>
          <cell r="D10">
            <v>0.85416666666666663</v>
          </cell>
          <cell r="E10">
            <v>0.72916666666666663</v>
          </cell>
          <cell r="F10" t="str">
            <v>FENERBAHCE BEKO ISTANBUL</v>
          </cell>
          <cell r="G10" t="str">
            <v>OLYMPIACOS PIRAEUS</v>
          </cell>
          <cell r="H10" t="str">
            <v>Norm+Post</v>
          </cell>
        </row>
        <row r="11">
          <cell r="A11">
            <v>9</v>
          </cell>
          <cell r="B11" t="str">
            <v>1</v>
          </cell>
          <cell r="C11">
            <v>45569</v>
          </cell>
          <cell r="D11">
            <v>0.875</v>
          </cell>
          <cell r="E11">
            <v>0.79166666666666663</v>
          </cell>
          <cell r="F11" t="str">
            <v>PARIS BASKETBALL</v>
          </cell>
          <cell r="G11" t="str">
            <v>CRVENA ZVEZDA MERIDIANBET BELGRADE</v>
          </cell>
          <cell r="H11" t="str">
            <v>Pre+Norm+Post</v>
          </cell>
        </row>
        <row r="12">
          <cell r="A12">
            <v>10</v>
          </cell>
          <cell r="B12" t="str">
            <v>1</v>
          </cell>
          <cell r="C12">
            <v>45569</v>
          </cell>
          <cell r="D12">
            <v>0.875</v>
          </cell>
          <cell r="E12">
            <v>0.79166666666666663</v>
          </cell>
          <cell r="F12" t="str">
            <v>VIRTUS SEGAFREDO BOLOGNA</v>
          </cell>
          <cell r="G12" t="str">
            <v>ANADOLU EFES ISTANBUL</v>
          </cell>
          <cell r="H12" t="str">
            <v>Norm</v>
          </cell>
        </row>
        <row r="13">
          <cell r="A13">
            <v>11</v>
          </cell>
          <cell r="B13" t="str">
            <v>-</v>
          </cell>
          <cell r="C13" t="str">
            <v>-</v>
          </cell>
          <cell r="D13" t="str">
            <v>-</v>
          </cell>
          <cell r="E13" t="str">
            <v>-</v>
          </cell>
          <cell r="F13" t="str">
            <v>-</v>
          </cell>
          <cell r="G13" t="str">
            <v>-</v>
          </cell>
          <cell r="H13" t="str">
            <v>Norm</v>
          </cell>
        </row>
        <row r="14">
          <cell r="A14">
            <v>12</v>
          </cell>
          <cell r="B14" t="str">
            <v>2</v>
          </cell>
          <cell r="C14">
            <v>45574</v>
          </cell>
          <cell r="D14">
            <v>0.79166666666666663</v>
          </cell>
          <cell r="E14">
            <v>0.70833333333333337</v>
          </cell>
          <cell r="F14" t="str">
            <v>AS MONACO</v>
          </cell>
          <cell r="G14" t="str">
            <v>MACCABI PLAYTIKA TEL AVIV</v>
          </cell>
          <cell r="H14" t="str">
            <v>Norm</v>
          </cell>
        </row>
        <row r="15">
          <cell r="A15">
            <v>13</v>
          </cell>
          <cell r="B15" t="str">
            <v>2</v>
          </cell>
          <cell r="C15">
            <v>45574</v>
          </cell>
          <cell r="D15">
            <v>0.83333333333333337</v>
          </cell>
          <cell r="E15">
            <v>0.75</v>
          </cell>
          <cell r="F15" t="str">
            <v>CRVENA ZVEZDA MERIDIANBET BELGRADE</v>
          </cell>
          <cell r="G15" t="str">
            <v>BASKONIA VITORIA-GASTEIZ</v>
          </cell>
          <cell r="H15" t="str">
            <v>Norm</v>
          </cell>
        </row>
        <row r="16">
          <cell r="A16">
            <v>14</v>
          </cell>
          <cell r="B16" t="str">
            <v>2</v>
          </cell>
          <cell r="C16">
            <v>45575</v>
          </cell>
          <cell r="D16">
            <v>0.85416666666666663</v>
          </cell>
          <cell r="E16">
            <v>0.72916666666666663</v>
          </cell>
          <cell r="F16" t="str">
            <v>ANADOLU EFES ISTANBUL</v>
          </cell>
          <cell r="G16" t="str">
            <v>FENERBAHCE BEKO ISTANBUL</v>
          </cell>
          <cell r="H16" t="str">
            <v>GOW</v>
          </cell>
        </row>
        <row r="17">
          <cell r="A17">
            <v>15</v>
          </cell>
          <cell r="B17" t="str">
            <v>2</v>
          </cell>
          <cell r="C17">
            <v>45575</v>
          </cell>
          <cell r="D17">
            <v>0.83333333333333337</v>
          </cell>
          <cell r="E17">
            <v>0.75</v>
          </cell>
          <cell r="F17" t="str">
            <v>LDLC ASVEL VILLEURBANNE</v>
          </cell>
          <cell r="G17" t="str">
            <v>VIRTUS SEGAFREDO BOLOGNA</v>
          </cell>
          <cell r="H17" t="str">
            <v>Norm</v>
          </cell>
        </row>
        <row r="18">
          <cell r="A18">
            <v>16</v>
          </cell>
          <cell r="B18" t="str">
            <v>2</v>
          </cell>
          <cell r="C18">
            <v>45575</v>
          </cell>
          <cell r="D18">
            <v>0.88541666666666663</v>
          </cell>
          <cell r="E18">
            <v>0.76041666666666663</v>
          </cell>
          <cell r="F18" t="str">
            <v>PANATHINAIKOS AKTOR ATHENS</v>
          </cell>
          <cell r="G18" t="str">
            <v>FC BAYERN MUNICH</v>
          </cell>
          <cell r="H18" t="str">
            <v>Norm</v>
          </cell>
        </row>
        <row r="19">
          <cell r="A19">
            <v>17</v>
          </cell>
          <cell r="B19" t="str">
            <v>2</v>
          </cell>
          <cell r="C19">
            <v>45575</v>
          </cell>
          <cell r="D19">
            <v>0.86458333333333337</v>
          </cell>
          <cell r="E19">
            <v>0.78125</v>
          </cell>
          <cell r="F19" t="str">
            <v>REAL MADRID</v>
          </cell>
          <cell r="G19" t="str">
            <v>PARTIZAN MOZZART BET BELGRADE</v>
          </cell>
          <cell r="H19" t="str">
            <v>Pre+Norm+Post</v>
          </cell>
        </row>
        <row r="20">
          <cell r="A20">
            <v>18</v>
          </cell>
          <cell r="B20" t="str">
            <v>2</v>
          </cell>
          <cell r="C20">
            <v>45576</v>
          </cell>
          <cell r="D20">
            <v>0.88541666666666663</v>
          </cell>
          <cell r="E20">
            <v>0.76041666666666663</v>
          </cell>
          <cell r="F20" t="str">
            <v>OLYMPIACOS PIRAEUS</v>
          </cell>
          <cell r="G20" t="str">
            <v>ZALGIRIS KAUNAS</v>
          </cell>
          <cell r="H20" t="str">
            <v>Norm</v>
          </cell>
        </row>
        <row r="21">
          <cell r="A21">
            <v>19</v>
          </cell>
          <cell r="B21" t="str">
            <v>2</v>
          </cell>
          <cell r="C21">
            <v>45576</v>
          </cell>
          <cell r="D21">
            <v>0.85416666666666663</v>
          </cell>
          <cell r="E21">
            <v>0.77083333333333337</v>
          </cell>
          <cell r="F21" t="str">
            <v>EA7 EMPORIO ARMANI MILAN</v>
          </cell>
          <cell r="G21" t="str">
            <v>PARIS BASKETBALL</v>
          </cell>
          <cell r="H21" t="str">
            <v>Norm</v>
          </cell>
        </row>
        <row r="22">
          <cell r="A22">
            <v>20</v>
          </cell>
          <cell r="B22" t="str">
            <v>2</v>
          </cell>
          <cell r="C22">
            <v>45576</v>
          </cell>
          <cell r="D22">
            <v>0.85416666666666663</v>
          </cell>
          <cell r="E22">
            <v>0.77083333333333337</v>
          </cell>
          <cell r="F22" t="str">
            <v>FC BARCELONA</v>
          </cell>
          <cell r="G22" t="str">
            <v>ALBA BERLIN</v>
          </cell>
          <cell r="H22" t="str">
            <v>Norm</v>
          </cell>
        </row>
        <row r="23">
          <cell r="A23">
            <v>21</v>
          </cell>
          <cell r="B23" t="str">
            <v>-</v>
          </cell>
          <cell r="C23" t="str">
            <v>-</v>
          </cell>
          <cell r="D23" t="str">
            <v>-</v>
          </cell>
          <cell r="E23" t="str">
            <v>-</v>
          </cell>
          <cell r="F23" t="str">
            <v>-</v>
          </cell>
          <cell r="G23" t="str">
            <v>-</v>
          </cell>
          <cell r="H23" t="str">
            <v>Norm</v>
          </cell>
        </row>
        <row r="24">
          <cell r="A24">
            <v>22</v>
          </cell>
          <cell r="B24" t="str">
            <v>3</v>
          </cell>
          <cell r="C24">
            <v>45580</v>
          </cell>
          <cell r="D24">
            <v>0.8125</v>
          </cell>
          <cell r="E24">
            <v>0.72916666666666663</v>
          </cell>
          <cell r="F24" t="str">
            <v>ALBA BERLIN</v>
          </cell>
          <cell r="G24" t="str">
            <v>LDLC ASVEL VILLEURBANNE</v>
          </cell>
          <cell r="H24" t="str">
            <v>Norm</v>
          </cell>
        </row>
        <row r="25">
          <cell r="A25">
            <v>23</v>
          </cell>
          <cell r="B25" t="str">
            <v>3</v>
          </cell>
          <cell r="C25">
            <v>45580</v>
          </cell>
          <cell r="D25">
            <v>0.86458333333333337</v>
          </cell>
          <cell r="E25">
            <v>0.73958333333333337</v>
          </cell>
          <cell r="F25" t="str">
            <v>FENERBAHCE BEKO ISTANBUL</v>
          </cell>
          <cell r="G25" t="str">
            <v>CRVENA ZVEZDA MERIDIANBET BELGRADE</v>
          </cell>
          <cell r="H25" t="str">
            <v>Pre+Norm+Post</v>
          </cell>
        </row>
        <row r="26">
          <cell r="A26">
            <v>24</v>
          </cell>
          <cell r="B26" t="str">
            <v>3</v>
          </cell>
          <cell r="C26">
            <v>45580</v>
          </cell>
          <cell r="D26">
            <v>0.83680555555555558</v>
          </cell>
          <cell r="E26">
            <v>0.75347222222222221</v>
          </cell>
          <cell r="F26" t="str">
            <v>MACCABI PLAYTIKA TEL AVIV</v>
          </cell>
          <cell r="G26" t="str">
            <v>ANADOLU EFES ISTANBUL</v>
          </cell>
          <cell r="H26" t="str">
            <v>Norm</v>
          </cell>
        </row>
        <row r="27">
          <cell r="A27">
            <v>25</v>
          </cell>
          <cell r="B27" t="str">
            <v>3</v>
          </cell>
          <cell r="C27">
            <v>45580</v>
          </cell>
          <cell r="D27">
            <v>0.88541666666666663</v>
          </cell>
          <cell r="E27">
            <v>0.76041666666666663</v>
          </cell>
          <cell r="F27" t="str">
            <v>OLYMPIACOS PIRAEUS</v>
          </cell>
          <cell r="G27" t="str">
            <v>EA7 EMPORIO ARMANI MILAN</v>
          </cell>
          <cell r="H27" t="str">
            <v>Norm</v>
          </cell>
        </row>
        <row r="28">
          <cell r="A28">
            <v>26</v>
          </cell>
          <cell r="B28" t="str">
            <v>3</v>
          </cell>
          <cell r="C28">
            <v>45580</v>
          </cell>
          <cell r="D28">
            <v>0.85416666666666663</v>
          </cell>
          <cell r="E28">
            <v>0.77083333333333337</v>
          </cell>
          <cell r="F28" t="str">
            <v>BASKONIA VITORIA-GASTEIZ</v>
          </cell>
          <cell r="G28" t="str">
            <v>REAL MADRID</v>
          </cell>
          <cell r="H28" t="str">
            <v>Norm</v>
          </cell>
        </row>
        <row r="29">
          <cell r="A29">
            <v>27</v>
          </cell>
          <cell r="B29" t="str">
            <v>3</v>
          </cell>
          <cell r="C29">
            <v>45580</v>
          </cell>
          <cell r="D29">
            <v>0.85416666666666663</v>
          </cell>
          <cell r="E29">
            <v>0.77083333333333337</v>
          </cell>
          <cell r="F29" t="str">
            <v>PARIS BASKETBALL</v>
          </cell>
          <cell r="G29" t="str">
            <v>PANATHINAIKOS AKTOR ATHENS</v>
          </cell>
          <cell r="H29" t="str">
            <v>GOW+Post</v>
          </cell>
        </row>
        <row r="30">
          <cell r="A30">
            <v>28</v>
          </cell>
          <cell r="B30" t="str">
            <v>3</v>
          </cell>
          <cell r="C30">
            <v>45580</v>
          </cell>
          <cell r="D30">
            <v>0.85416666666666663</v>
          </cell>
          <cell r="E30">
            <v>0.77083333333333337</v>
          </cell>
          <cell r="F30" t="str">
            <v>VIRTUS SEGAFREDO BOLOGNA</v>
          </cell>
          <cell r="G30" t="str">
            <v>ZALGIRIS KAUNAS</v>
          </cell>
          <cell r="H30" t="str">
            <v>Norm</v>
          </cell>
        </row>
        <row r="31">
          <cell r="A31">
            <v>29</v>
          </cell>
          <cell r="B31" t="str">
            <v>3</v>
          </cell>
          <cell r="C31">
            <v>45580</v>
          </cell>
          <cell r="D31">
            <v>0.86458333333333337</v>
          </cell>
          <cell r="E31">
            <v>0.78125</v>
          </cell>
          <cell r="F31" t="str">
            <v>PARTIZAN MOZZART BET BELGRADE</v>
          </cell>
          <cell r="G31" t="str">
            <v>FC BAYERN MUNICH</v>
          </cell>
          <cell r="H31" t="str">
            <v>Norm</v>
          </cell>
        </row>
        <row r="32">
          <cell r="A32">
            <v>30</v>
          </cell>
          <cell r="B32" t="str">
            <v>3</v>
          </cell>
          <cell r="C32">
            <v>45581</v>
          </cell>
          <cell r="D32">
            <v>0.85416666666666663</v>
          </cell>
          <cell r="E32">
            <v>0.77083333333333337</v>
          </cell>
          <cell r="F32" t="str">
            <v>FC BARCELONA</v>
          </cell>
          <cell r="G32" t="str">
            <v>AS MONACO</v>
          </cell>
          <cell r="H32" t="str">
            <v>Norm</v>
          </cell>
        </row>
        <row r="33">
          <cell r="A33">
            <v>31</v>
          </cell>
          <cell r="B33" t="str">
            <v>-</v>
          </cell>
          <cell r="C33" t="str">
            <v>-</v>
          </cell>
          <cell r="D33" t="str">
            <v>-</v>
          </cell>
          <cell r="E33" t="str">
            <v>-</v>
          </cell>
          <cell r="F33" t="str">
            <v>-</v>
          </cell>
          <cell r="G33" t="str">
            <v>-</v>
          </cell>
          <cell r="H33" t="str">
            <v>Norm</v>
          </cell>
        </row>
        <row r="34">
          <cell r="A34">
            <v>32</v>
          </cell>
          <cell r="B34" t="str">
            <v>4</v>
          </cell>
          <cell r="C34">
            <v>45582</v>
          </cell>
          <cell r="D34">
            <v>0.8125</v>
          </cell>
          <cell r="E34">
            <v>0.72916666666666663</v>
          </cell>
          <cell r="F34" t="str">
            <v>ALBA BERLIN</v>
          </cell>
          <cell r="G34" t="str">
            <v>FENERBAHCE BEKO ISTANBUL</v>
          </cell>
          <cell r="H34" t="str">
            <v>Norm</v>
          </cell>
        </row>
        <row r="35">
          <cell r="A35">
            <v>33</v>
          </cell>
          <cell r="B35" t="str">
            <v>4</v>
          </cell>
          <cell r="C35">
            <v>45582</v>
          </cell>
          <cell r="D35">
            <v>0.83680555555555558</v>
          </cell>
          <cell r="E35">
            <v>0.75347222222222221</v>
          </cell>
          <cell r="F35" t="str">
            <v>MACCABI PLAYTIKA TEL AVIV</v>
          </cell>
          <cell r="G35" t="str">
            <v>PARTIZAN MOZZART BET BELGRADE</v>
          </cell>
          <cell r="H35" t="str">
            <v>Norm</v>
          </cell>
        </row>
        <row r="36">
          <cell r="A36">
            <v>34</v>
          </cell>
          <cell r="B36" t="str">
            <v>4</v>
          </cell>
          <cell r="C36">
            <v>45582</v>
          </cell>
          <cell r="D36">
            <v>0.85416666666666663</v>
          </cell>
          <cell r="E36">
            <v>0.77083333333333337</v>
          </cell>
          <cell r="F36" t="str">
            <v>EA7 EMPORIO ARMANI MILAN</v>
          </cell>
          <cell r="G36" t="str">
            <v>ZALGIRIS KAUNAS</v>
          </cell>
          <cell r="H36" t="str">
            <v>Norm</v>
          </cell>
        </row>
        <row r="37">
          <cell r="A37">
            <v>35</v>
          </cell>
          <cell r="B37" t="str">
            <v>4</v>
          </cell>
          <cell r="C37">
            <v>45582</v>
          </cell>
          <cell r="D37">
            <v>0.86458333333333337</v>
          </cell>
          <cell r="E37">
            <v>0.78125</v>
          </cell>
          <cell r="F37" t="str">
            <v>FC BAYERN MUNICH</v>
          </cell>
          <cell r="G37" t="str">
            <v>PARIS BASKETBALL</v>
          </cell>
          <cell r="H37" t="str">
            <v>Norm</v>
          </cell>
        </row>
        <row r="38">
          <cell r="A38">
            <v>36</v>
          </cell>
          <cell r="B38" t="str">
            <v>4</v>
          </cell>
          <cell r="C38">
            <v>45582</v>
          </cell>
          <cell r="D38">
            <v>0.86458333333333337</v>
          </cell>
          <cell r="E38">
            <v>0.78125</v>
          </cell>
          <cell r="F38" t="str">
            <v>REAL MADRID</v>
          </cell>
          <cell r="G38" t="str">
            <v>PANATHINAIKOS AKTOR ATHENS</v>
          </cell>
          <cell r="H38" t="str">
            <v>GOW+Post</v>
          </cell>
        </row>
        <row r="39">
          <cell r="A39">
            <v>37</v>
          </cell>
          <cell r="B39" t="str">
            <v>4</v>
          </cell>
          <cell r="C39">
            <v>45583</v>
          </cell>
          <cell r="D39">
            <v>0.79166666666666663</v>
          </cell>
          <cell r="E39">
            <v>0.70833333333333337</v>
          </cell>
          <cell r="F39" t="str">
            <v>AS MONACO</v>
          </cell>
          <cell r="G39" t="str">
            <v>VIRTUS SEGAFREDO BOLOGNA</v>
          </cell>
          <cell r="H39" t="str">
            <v>Norm</v>
          </cell>
        </row>
        <row r="40">
          <cell r="A40">
            <v>38</v>
          </cell>
          <cell r="B40" t="str">
            <v>4</v>
          </cell>
          <cell r="C40">
            <v>45583</v>
          </cell>
          <cell r="D40">
            <v>0.85416666666666663</v>
          </cell>
          <cell r="E40">
            <v>0.72916666666666663</v>
          </cell>
          <cell r="F40" t="str">
            <v>ANADOLU EFES ISTANBUL</v>
          </cell>
          <cell r="G40" t="str">
            <v>OLYMPIACOS PIRAEUS</v>
          </cell>
          <cell r="H40" t="str">
            <v>Norm+Post</v>
          </cell>
        </row>
        <row r="41">
          <cell r="A41">
            <v>39</v>
          </cell>
          <cell r="B41" t="str">
            <v>4</v>
          </cell>
          <cell r="C41">
            <v>45583</v>
          </cell>
          <cell r="D41">
            <v>0.83333333333333337</v>
          </cell>
          <cell r="E41">
            <v>0.75</v>
          </cell>
          <cell r="F41" t="str">
            <v>CRVENA ZVEZDA MERIDIANBET BELGRADE</v>
          </cell>
          <cell r="G41" t="str">
            <v>FC BARCELONA</v>
          </cell>
          <cell r="H41" t="str">
            <v>Norm</v>
          </cell>
        </row>
        <row r="42">
          <cell r="A42">
            <v>40</v>
          </cell>
          <cell r="B42" t="str">
            <v>4</v>
          </cell>
          <cell r="C42">
            <v>45583</v>
          </cell>
          <cell r="D42">
            <v>0.85416666666666663</v>
          </cell>
          <cell r="E42">
            <v>0.77083333333333337</v>
          </cell>
          <cell r="F42" t="str">
            <v>LDLC ASVEL VILLEURBANNE</v>
          </cell>
          <cell r="G42" t="str">
            <v>BASKONIA VITORIA-GASTEIZ</v>
          </cell>
          <cell r="H42" t="str">
            <v>Norm</v>
          </cell>
        </row>
        <row r="43">
          <cell r="A43">
            <v>41</v>
          </cell>
          <cell r="B43" t="str">
            <v>-</v>
          </cell>
          <cell r="C43" t="str">
            <v>-</v>
          </cell>
          <cell r="D43" t="str">
            <v>-</v>
          </cell>
          <cell r="E43" t="str">
            <v>-</v>
          </cell>
          <cell r="F43" t="str">
            <v>-</v>
          </cell>
          <cell r="G43" t="str">
            <v>-</v>
          </cell>
          <cell r="H43" t="str">
            <v>Norm</v>
          </cell>
        </row>
        <row r="44">
          <cell r="A44">
            <v>42</v>
          </cell>
          <cell r="B44" t="str">
            <v>5</v>
          </cell>
          <cell r="C44">
            <v>45588</v>
          </cell>
          <cell r="D44">
            <v>0.85416666666666663</v>
          </cell>
          <cell r="E44">
            <v>0.77083333333333337</v>
          </cell>
          <cell r="F44" t="str">
            <v>PARTIZAN MOZZART BET BELGRADE</v>
          </cell>
          <cell r="G44" t="str">
            <v>VIRTUS SEGAFREDO BOLOGNA</v>
          </cell>
          <cell r="H44" t="str">
            <v>Norm</v>
          </cell>
        </row>
        <row r="45">
          <cell r="A45">
            <v>43</v>
          </cell>
          <cell r="B45" t="str">
            <v>5</v>
          </cell>
          <cell r="C45">
            <v>45589</v>
          </cell>
          <cell r="D45">
            <v>0.79166666666666663</v>
          </cell>
          <cell r="E45">
            <v>0.70833333333333337</v>
          </cell>
          <cell r="F45" t="str">
            <v>AS MONACO</v>
          </cell>
          <cell r="G45" t="str">
            <v>PARIS BASKETBALL</v>
          </cell>
          <cell r="H45" t="str">
            <v>GOW</v>
          </cell>
        </row>
        <row r="46">
          <cell r="A46">
            <v>44</v>
          </cell>
          <cell r="B46" t="str">
            <v>5</v>
          </cell>
          <cell r="C46">
            <v>45589</v>
          </cell>
          <cell r="D46">
            <v>0.83333333333333337</v>
          </cell>
          <cell r="E46">
            <v>0.70833333333333337</v>
          </cell>
          <cell r="F46" t="str">
            <v>ZALGIRIS KAUNAS</v>
          </cell>
          <cell r="G46" t="str">
            <v>MACCABI PLAYTIKA TEL AVIV</v>
          </cell>
          <cell r="H46" t="str">
            <v>Norm</v>
          </cell>
        </row>
        <row r="47">
          <cell r="A47">
            <v>45</v>
          </cell>
          <cell r="B47" t="str">
            <v>5</v>
          </cell>
          <cell r="C47">
            <v>45589</v>
          </cell>
          <cell r="D47">
            <v>0.85416666666666663</v>
          </cell>
          <cell r="E47">
            <v>0.77083333333333337</v>
          </cell>
          <cell r="F47" t="str">
            <v>EA7 EMPORIO ARMANI MILAN</v>
          </cell>
          <cell r="G47" t="str">
            <v>ANADOLU EFES ISTANBUL</v>
          </cell>
          <cell r="H47" t="str">
            <v>Norm</v>
          </cell>
        </row>
        <row r="48">
          <cell r="A48">
            <v>46</v>
          </cell>
          <cell r="B48" t="str">
            <v>5</v>
          </cell>
          <cell r="C48">
            <v>45589</v>
          </cell>
          <cell r="D48">
            <v>0.85416666666666663</v>
          </cell>
          <cell r="E48">
            <v>0.77083333333333337</v>
          </cell>
          <cell r="F48" t="str">
            <v>BASKONIA VITORIA-GASTEIZ</v>
          </cell>
          <cell r="G48" t="str">
            <v>ALBA BERLIN</v>
          </cell>
          <cell r="H48" t="str">
            <v>Norm</v>
          </cell>
        </row>
        <row r="49">
          <cell r="A49">
            <v>47</v>
          </cell>
          <cell r="B49" t="str">
            <v>5</v>
          </cell>
          <cell r="C49">
            <v>45589</v>
          </cell>
          <cell r="D49">
            <v>0.86458333333333337</v>
          </cell>
          <cell r="E49">
            <v>0.78125</v>
          </cell>
          <cell r="F49" t="str">
            <v>REAL MADRID</v>
          </cell>
          <cell r="G49" t="str">
            <v>CRVENA ZVEZDA MERIDIANBET BELGRADE</v>
          </cell>
          <cell r="H49" t="str">
            <v>Pre+Norm+Post</v>
          </cell>
        </row>
        <row r="50">
          <cell r="A50">
            <v>48</v>
          </cell>
          <cell r="B50" t="str">
            <v>5</v>
          </cell>
          <cell r="C50">
            <v>45590</v>
          </cell>
          <cell r="D50">
            <v>0.86458333333333337</v>
          </cell>
          <cell r="E50">
            <v>0.73958333333333337</v>
          </cell>
          <cell r="F50" t="str">
            <v>FENERBAHCE BEKO ISTANBUL</v>
          </cell>
          <cell r="G50" t="str">
            <v>PANATHINAIKOS AKTOR ATHENS</v>
          </cell>
          <cell r="H50" t="str">
            <v>Norm+Post</v>
          </cell>
        </row>
        <row r="51">
          <cell r="A51">
            <v>49</v>
          </cell>
          <cell r="B51" t="str">
            <v>5</v>
          </cell>
          <cell r="C51">
            <v>45590</v>
          </cell>
          <cell r="D51">
            <v>0.85416666666666663</v>
          </cell>
          <cell r="E51">
            <v>0.77083333333333337</v>
          </cell>
          <cell r="F51" t="str">
            <v>FC BARCELONA</v>
          </cell>
          <cell r="G51" t="str">
            <v>LDLC ASVEL VILLEURBANNE</v>
          </cell>
          <cell r="H51" t="str">
            <v>Norm</v>
          </cell>
        </row>
        <row r="52">
          <cell r="A52">
            <v>50</v>
          </cell>
          <cell r="B52" t="str">
            <v>5</v>
          </cell>
          <cell r="C52">
            <v>45590</v>
          </cell>
          <cell r="D52">
            <v>0.86458333333333337</v>
          </cell>
          <cell r="E52">
            <v>0.78125</v>
          </cell>
          <cell r="F52" t="str">
            <v>FC BAYERN MUNICH</v>
          </cell>
          <cell r="G52" t="str">
            <v>OLYMPIACOS PIRAEUS</v>
          </cell>
          <cell r="H52" t="str">
            <v>Norm+Post</v>
          </cell>
        </row>
        <row r="53">
          <cell r="A53">
            <v>51</v>
          </cell>
          <cell r="B53" t="str">
            <v>-</v>
          </cell>
          <cell r="C53" t="str">
            <v>-</v>
          </cell>
          <cell r="D53" t="str">
            <v>-</v>
          </cell>
          <cell r="E53" t="str">
            <v>-</v>
          </cell>
          <cell r="F53" t="str">
            <v>-</v>
          </cell>
          <cell r="G53" t="str">
            <v>-</v>
          </cell>
          <cell r="H53" t="str">
            <v>Norm</v>
          </cell>
        </row>
        <row r="54">
          <cell r="A54">
            <v>52</v>
          </cell>
          <cell r="B54" t="str">
            <v>6</v>
          </cell>
          <cell r="C54">
            <v>45594</v>
          </cell>
          <cell r="D54">
            <v>0.85416666666666663</v>
          </cell>
          <cell r="E54">
            <v>0.72916666666666663</v>
          </cell>
          <cell r="F54" t="str">
            <v>ANADOLU EFES ISTANBUL</v>
          </cell>
          <cell r="G54" t="str">
            <v>FC BARCELONA</v>
          </cell>
          <cell r="H54" t="str">
            <v>Norm</v>
          </cell>
        </row>
        <row r="55">
          <cell r="A55">
            <v>53</v>
          </cell>
          <cell r="B55" t="str">
            <v>6</v>
          </cell>
          <cell r="C55">
            <v>45594</v>
          </cell>
          <cell r="D55">
            <v>0.85416666666666663</v>
          </cell>
          <cell r="E55">
            <v>0.77083333333333337</v>
          </cell>
          <cell r="F55" t="str">
            <v>FENERBAHCE BEKO ISTANBUL</v>
          </cell>
          <cell r="G55" t="str">
            <v>MACCABI PLAYTIKA TEL AVIV</v>
          </cell>
          <cell r="H55" t="str">
            <v>Norm</v>
          </cell>
        </row>
        <row r="56">
          <cell r="A56">
            <v>54</v>
          </cell>
          <cell r="B56" t="str">
            <v>6</v>
          </cell>
          <cell r="C56">
            <v>45594</v>
          </cell>
          <cell r="D56">
            <v>0.8125</v>
          </cell>
          <cell r="E56">
            <v>0.77083333333333337</v>
          </cell>
          <cell r="F56" t="str">
            <v>ALBA BERLIN</v>
          </cell>
          <cell r="G56" t="str">
            <v>PARIS BASKETBALL</v>
          </cell>
          <cell r="H56" t="str">
            <v>Norm</v>
          </cell>
        </row>
        <row r="57">
          <cell r="A57">
            <v>55</v>
          </cell>
          <cell r="B57" t="str">
            <v>6</v>
          </cell>
          <cell r="C57">
            <v>45594</v>
          </cell>
          <cell r="D57">
            <v>0.88541666666666663</v>
          </cell>
          <cell r="E57">
            <v>0.80208333333333337</v>
          </cell>
          <cell r="F57" t="str">
            <v>OLYMPIACOS PIRAEUS</v>
          </cell>
          <cell r="G57" t="str">
            <v>REAL MADRID</v>
          </cell>
          <cell r="H57" t="str">
            <v>GOW</v>
          </cell>
        </row>
        <row r="58">
          <cell r="A58">
            <v>56</v>
          </cell>
          <cell r="B58" t="str">
            <v>6</v>
          </cell>
          <cell r="C58">
            <v>45594</v>
          </cell>
          <cell r="D58">
            <v>0.85416666666666663</v>
          </cell>
          <cell r="E58">
            <v>0.8125</v>
          </cell>
          <cell r="F58" t="str">
            <v>BASKONIA VITORIA-GASTEIZ</v>
          </cell>
          <cell r="G58" t="str">
            <v>EA7 EMPORIO ARMANI MILAN</v>
          </cell>
          <cell r="H58" t="str">
            <v>Norm</v>
          </cell>
        </row>
        <row r="59">
          <cell r="A59">
            <v>57</v>
          </cell>
          <cell r="B59" t="str">
            <v>6</v>
          </cell>
          <cell r="C59">
            <v>45594</v>
          </cell>
          <cell r="D59">
            <v>0.875</v>
          </cell>
          <cell r="E59">
            <v>0.83333333333333337</v>
          </cell>
          <cell r="F59" t="str">
            <v>VIRTUS SEGAFREDO BOLOGNA</v>
          </cell>
          <cell r="G59" t="str">
            <v>FC BAYERN MUNICH</v>
          </cell>
          <cell r="H59" t="str">
            <v>Norm</v>
          </cell>
        </row>
        <row r="60">
          <cell r="A60">
            <v>58</v>
          </cell>
          <cell r="B60" t="str">
            <v>6</v>
          </cell>
          <cell r="C60">
            <v>45595</v>
          </cell>
          <cell r="D60">
            <v>0.83333333333333337</v>
          </cell>
          <cell r="E60">
            <v>0.75</v>
          </cell>
          <cell r="F60" t="str">
            <v>ZALGIRIS KAUNAS</v>
          </cell>
          <cell r="G60" t="str">
            <v>CRVENA ZVEZDA MERIDIANBET BELGRADE</v>
          </cell>
          <cell r="H60" t="str">
            <v>Pre+Norm+Post</v>
          </cell>
        </row>
        <row r="61">
          <cell r="A61">
            <v>59</v>
          </cell>
          <cell r="B61" t="str">
            <v>6</v>
          </cell>
          <cell r="C61">
            <v>45595</v>
          </cell>
          <cell r="D61">
            <v>0.88541666666666663</v>
          </cell>
          <cell r="E61">
            <v>0.80208333333333337</v>
          </cell>
          <cell r="F61" t="str">
            <v>PANATHINAIKOS AKTOR ATHENS</v>
          </cell>
          <cell r="G61" t="str">
            <v>LDLC ASVEL VILLEURBANNE</v>
          </cell>
          <cell r="H61" t="str">
            <v>Norm</v>
          </cell>
        </row>
        <row r="62">
          <cell r="A62">
            <v>60</v>
          </cell>
          <cell r="B62" t="str">
            <v>6</v>
          </cell>
          <cell r="C62">
            <v>45595</v>
          </cell>
          <cell r="D62">
            <v>0.86458333333333337</v>
          </cell>
          <cell r="E62">
            <v>0.82291666666666663</v>
          </cell>
          <cell r="F62" t="str">
            <v>PARTIZAN MOZZART BET BELGRADE</v>
          </cell>
          <cell r="G62" t="str">
            <v>AS MONACO</v>
          </cell>
          <cell r="H62" t="str">
            <v>Norm</v>
          </cell>
        </row>
        <row r="63">
          <cell r="A63">
            <v>61</v>
          </cell>
          <cell r="B63" t="str">
            <v>-</v>
          </cell>
          <cell r="C63" t="str">
            <v>-</v>
          </cell>
          <cell r="D63" t="str">
            <v>-</v>
          </cell>
          <cell r="E63" t="str">
            <v>-</v>
          </cell>
          <cell r="F63" t="str">
            <v>-</v>
          </cell>
          <cell r="G63" t="str">
            <v>-</v>
          </cell>
          <cell r="H63" t="str">
            <v>Norm</v>
          </cell>
        </row>
        <row r="64">
          <cell r="A64">
            <v>62</v>
          </cell>
          <cell r="B64" t="str">
            <v>7</v>
          </cell>
          <cell r="C64">
            <v>45596</v>
          </cell>
          <cell r="D64">
            <v>0.83333333333333337</v>
          </cell>
          <cell r="E64">
            <v>0.79166666666666663</v>
          </cell>
          <cell r="F64" t="str">
            <v>ALBA BERLIN</v>
          </cell>
          <cell r="G64" t="str">
            <v>ANADOLU EFES ISTANBUL</v>
          </cell>
          <cell r="H64" t="str">
            <v>Norm</v>
          </cell>
        </row>
        <row r="65">
          <cell r="A65">
            <v>63</v>
          </cell>
          <cell r="B65" t="str">
            <v>7</v>
          </cell>
          <cell r="C65">
            <v>45596</v>
          </cell>
          <cell r="D65">
            <v>0.83680555555555558</v>
          </cell>
          <cell r="E65">
            <v>0.79513888888888884</v>
          </cell>
          <cell r="F65" t="str">
            <v>MACCABI PLAYTIKA TEL AVIV</v>
          </cell>
          <cell r="G65" t="str">
            <v>REAL MADRID</v>
          </cell>
          <cell r="H65" t="str">
            <v>Norm</v>
          </cell>
        </row>
        <row r="66">
          <cell r="A66">
            <v>64</v>
          </cell>
          <cell r="B66" t="str">
            <v>7</v>
          </cell>
          <cell r="C66">
            <v>45596</v>
          </cell>
          <cell r="D66">
            <v>0.88541666666666663</v>
          </cell>
          <cell r="E66">
            <v>0.80208333333333337</v>
          </cell>
          <cell r="F66" t="str">
            <v>OLYMPIACOS PIRAEUS</v>
          </cell>
          <cell r="G66" t="str">
            <v>FC BARCELONA</v>
          </cell>
          <cell r="H66" t="str">
            <v>Norm</v>
          </cell>
        </row>
        <row r="67">
          <cell r="A67">
            <v>65</v>
          </cell>
          <cell r="B67" t="str">
            <v>7</v>
          </cell>
          <cell r="C67">
            <v>45596</v>
          </cell>
          <cell r="D67">
            <v>0.85416666666666663</v>
          </cell>
          <cell r="E67">
            <v>0.8125</v>
          </cell>
          <cell r="F67" t="str">
            <v>EA7 EMPORIO ARMANI MILAN</v>
          </cell>
          <cell r="G67" t="str">
            <v>VIRTUS SEGAFREDO BOLOGNA</v>
          </cell>
          <cell r="H67" t="str">
            <v>GOW</v>
          </cell>
        </row>
        <row r="68">
          <cell r="A68">
            <v>66</v>
          </cell>
          <cell r="B68" t="str">
            <v>7</v>
          </cell>
          <cell r="C68">
            <v>45597</v>
          </cell>
          <cell r="D68">
            <v>0.86458333333333337</v>
          </cell>
          <cell r="E68">
            <v>0.73958333333333337</v>
          </cell>
          <cell r="F68" t="str">
            <v>FENERBAHCE BEKO ISTANBUL</v>
          </cell>
          <cell r="G68" t="str">
            <v>PARTIZAN MOZZART BET BELGRADE</v>
          </cell>
          <cell r="H68" t="str">
            <v>Pre+Norm+Post</v>
          </cell>
        </row>
        <row r="69">
          <cell r="A69">
            <v>67</v>
          </cell>
          <cell r="B69" t="str">
            <v>7</v>
          </cell>
          <cell r="C69">
            <v>45597</v>
          </cell>
          <cell r="D69">
            <v>0.83333333333333337</v>
          </cell>
          <cell r="E69">
            <v>0.75</v>
          </cell>
          <cell r="F69" t="str">
            <v>ZALGIRIS KAUNAS</v>
          </cell>
          <cell r="G69" t="str">
            <v>AS MONACO</v>
          </cell>
          <cell r="H69" t="str">
            <v>Norm</v>
          </cell>
        </row>
        <row r="70">
          <cell r="A70">
            <v>68</v>
          </cell>
          <cell r="B70" t="str">
            <v>7</v>
          </cell>
          <cell r="C70">
            <v>45597</v>
          </cell>
          <cell r="D70">
            <v>0.83333333333333337</v>
          </cell>
          <cell r="E70">
            <v>0.79166666666666663</v>
          </cell>
          <cell r="F70" t="str">
            <v>CRVENA ZVEZDA MERIDIANBET BELGRADE</v>
          </cell>
          <cell r="G70" t="str">
            <v>PANATHINAIKOS AKTOR ATHENS</v>
          </cell>
          <cell r="H70" t="str">
            <v>Norm</v>
          </cell>
        </row>
        <row r="71">
          <cell r="A71">
            <v>69</v>
          </cell>
          <cell r="B71" t="str">
            <v>7</v>
          </cell>
          <cell r="C71">
            <v>45597</v>
          </cell>
          <cell r="D71">
            <v>0.83333333333333337</v>
          </cell>
          <cell r="E71">
            <v>0.79166666666666663</v>
          </cell>
          <cell r="F71" t="str">
            <v>LDLC ASVEL VILLEURBANNE</v>
          </cell>
          <cell r="G71" t="str">
            <v>FC BAYERN MUNICH</v>
          </cell>
          <cell r="H71" t="str">
            <v>Norm</v>
          </cell>
        </row>
        <row r="72">
          <cell r="A72">
            <v>70</v>
          </cell>
          <cell r="B72" t="str">
            <v>7</v>
          </cell>
          <cell r="C72">
            <v>45597</v>
          </cell>
          <cell r="D72">
            <v>0.86458333333333337</v>
          </cell>
          <cell r="E72">
            <v>0.82291666666666663</v>
          </cell>
          <cell r="F72" t="str">
            <v>PARIS BASKETBALL</v>
          </cell>
          <cell r="G72" t="str">
            <v>BASKONIA VITORIA-GASTEIZ</v>
          </cell>
          <cell r="H72" t="str">
            <v>Norm</v>
          </cell>
        </row>
        <row r="73">
          <cell r="A73">
            <v>71</v>
          </cell>
          <cell r="B73" t="str">
            <v>-</v>
          </cell>
          <cell r="C73" t="str">
            <v>-</v>
          </cell>
          <cell r="D73" t="str">
            <v>-</v>
          </cell>
          <cell r="E73" t="str">
            <v>-</v>
          </cell>
          <cell r="F73" t="str">
            <v>-</v>
          </cell>
          <cell r="G73" t="str">
            <v>-</v>
          </cell>
          <cell r="H73" t="str">
            <v>Norm</v>
          </cell>
        </row>
        <row r="74">
          <cell r="A74">
            <v>72</v>
          </cell>
          <cell r="B74" t="str">
            <v>8</v>
          </cell>
          <cell r="C74">
            <v>45603</v>
          </cell>
          <cell r="D74">
            <v>0.79166666666666663</v>
          </cell>
          <cell r="E74">
            <v>0.75</v>
          </cell>
          <cell r="F74" t="str">
            <v>CRVENA ZVEZDA MERIDIANBET BELGRADE</v>
          </cell>
          <cell r="G74" t="str">
            <v>ALBA BERLIN</v>
          </cell>
          <cell r="H74" t="str">
            <v>Norm</v>
          </cell>
        </row>
        <row r="75">
          <cell r="A75">
            <v>73</v>
          </cell>
          <cell r="B75" t="str">
            <v>8</v>
          </cell>
          <cell r="C75">
            <v>45603</v>
          </cell>
          <cell r="D75">
            <v>0.85416666666666663</v>
          </cell>
          <cell r="E75">
            <v>0.8125</v>
          </cell>
          <cell r="F75" t="str">
            <v>EA7 EMPORIO ARMANI MILAN</v>
          </cell>
          <cell r="G75" t="str">
            <v>REAL MADRID</v>
          </cell>
          <cell r="H75" t="str">
            <v>Norm</v>
          </cell>
        </row>
        <row r="76">
          <cell r="A76">
            <v>74</v>
          </cell>
          <cell r="B76" t="str">
            <v>8</v>
          </cell>
          <cell r="C76">
            <v>45603</v>
          </cell>
          <cell r="D76">
            <v>0.86458333333333337</v>
          </cell>
          <cell r="E76">
            <v>0.82291666666666663</v>
          </cell>
          <cell r="F76" t="str">
            <v>FC BAYERN MUNICH</v>
          </cell>
          <cell r="G76" t="str">
            <v>ZALGIRIS KAUNAS</v>
          </cell>
          <cell r="H76" t="str">
            <v>Norm</v>
          </cell>
        </row>
        <row r="77">
          <cell r="A77">
            <v>75</v>
          </cell>
          <cell r="B77" t="str">
            <v>8</v>
          </cell>
          <cell r="C77">
            <v>45603</v>
          </cell>
          <cell r="D77">
            <v>0.86458333333333337</v>
          </cell>
          <cell r="E77">
            <v>0.82291666666666663</v>
          </cell>
          <cell r="F77" t="str">
            <v>PARIS BASKETBALL</v>
          </cell>
          <cell r="G77" t="str">
            <v>PARTIZAN MOZZART BET BELGRADE</v>
          </cell>
          <cell r="H77" t="str">
            <v>Pre+Norm+Post</v>
          </cell>
        </row>
        <row r="78">
          <cell r="A78">
            <v>76</v>
          </cell>
          <cell r="B78" t="str">
            <v>8</v>
          </cell>
          <cell r="C78">
            <v>45604</v>
          </cell>
          <cell r="D78">
            <v>0.83333333333333337</v>
          </cell>
          <cell r="E78">
            <v>0.70833333333333337</v>
          </cell>
          <cell r="F78" t="str">
            <v>ANADOLU EFES ISTANBUL</v>
          </cell>
          <cell r="G78" t="str">
            <v>AS MONACO</v>
          </cell>
          <cell r="H78" t="str">
            <v>Norm</v>
          </cell>
        </row>
        <row r="79">
          <cell r="A79">
            <v>77</v>
          </cell>
          <cell r="B79" t="str">
            <v>8</v>
          </cell>
          <cell r="C79">
            <v>45604</v>
          </cell>
          <cell r="D79">
            <v>0.83333333333333337</v>
          </cell>
          <cell r="E79">
            <v>0.79166666666666663</v>
          </cell>
          <cell r="F79" t="str">
            <v>LDLC ASVEL VILLEURBANNE</v>
          </cell>
          <cell r="G79" t="str">
            <v>FENERBAHCE BEKO ISTANBUL</v>
          </cell>
          <cell r="H79" t="str">
            <v>Norm</v>
          </cell>
        </row>
        <row r="80">
          <cell r="A80">
            <v>78</v>
          </cell>
          <cell r="B80" t="str">
            <v>8</v>
          </cell>
          <cell r="C80">
            <v>45604</v>
          </cell>
          <cell r="D80">
            <v>0.88541666666666663</v>
          </cell>
          <cell r="E80">
            <v>0.80208333333333337</v>
          </cell>
          <cell r="F80" t="str">
            <v>PANATHINAIKOS AKTOR ATHENS</v>
          </cell>
          <cell r="G80" t="str">
            <v>OLYMPIACOS PIRAEUS</v>
          </cell>
          <cell r="H80" t="str">
            <v>Pre+GOW</v>
          </cell>
        </row>
        <row r="81">
          <cell r="A81">
            <v>79</v>
          </cell>
          <cell r="B81" t="str">
            <v>8</v>
          </cell>
          <cell r="C81">
            <v>45604</v>
          </cell>
          <cell r="D81">
            <v>0.85416666666666663</v>
          </cell>
          <cell r="E81">
            <v>0.8125</v>
          </cell>
          <cell r="F81" t="str">
            <v>FC BARCELONA</v>
          </cell>
          <cell r="G81" t="str">
            <v>BASKONIA VITORIA-GASTEIZ</v>
          </cell>
          <cell r="H81" t="str">
            <v>Norm</v>
          </cell>
        </row>
        <row r="82">
          <cell r="A82">
            <v>80</v>
          </cell>
          <cell r="B82" t="str">
            <v>8</v>
          </cell>
          <cell r="C82">
            <v>45604</v>
          </cell>
          <cell r="D82">
            <v>0.85416666666666663</v>
          </cell>
          <cell r="E82">
            <v>0.8125</v>
          </cell>
          <cell r="F82" t="str">
            <v>VIRTUS SEGAFREDO BOLOGNA</v>
          </cell>
          <cell r="G82" t="str">
            <v>MACCABI PLAYTIKA TEL AVIV</v>
          </cell>
          <cell r="H82" t="str">
            <v>Norm</v>
          </cell>
        </row>
        <row r="83">
          <cell r="A83">
            <v>81</v>
          </cell>
          <cell r="B83" t="str">
            <v>-</v>
          </cell>
          <cell r="C83" t="str">
            <v>-</v>
          </cell>
          <cell r="D83" t="str">
            <v>-</v>
          </cell>
          <cell r="E83" t="str">
            <v>-</v>
          </cell>
          <cell r="F83" t="str">
            <v>-</v>
          </cell>
          <cell r="G83" t="str">
            <v>-</v>
          </cell>
          <cell r="H83" t="str">
            <v>Norm</v>
          </cell>
        </row>
        <row r="84">
          <cell r="A84">
            <v>82</v>
          </cell>
          <cell r="B84" t="str">
            <v>9</v>
          </cell>
          <cell r="C84">
            <v>45608</v>
          </cell>
          <cell r="D84">
            <v>0.86458333333333337</v>
          </cell>
          <cell r="E84">
            <v>0.73958333333333337</v>
          </cell>
          <cell r="F84" t="str">
            <v>FENERBAHCE BEKO ISTANBUL</v>
          </cell>
          <cell r="G84" t="str">
            <v>FC BAYERN MUNICH</v>
          </cell>
          <cell r="H84" t="str">
            <v>Norm</v>
          </cell>
        </row>
        <row r="85">
          <cell r="A85">
            <v>83</v>
          </cell>
          <cell r="B85" t="str">
            <v>9</v>
          </cell>
          <cell r="C85">
            <v>45608</v>
          </cell>
          <cell r="D85">
            <v>0.79166666666666663</v>
          </cell>
          <cell r="E85">
            <v>0.75</v>
          </cell>
          <cell r="F85" t="str">
            <v>AS MONACO</v>
          </cell>
          <cell r="G85" t="str">
            <v>CRVENA ZVEZDA MERIDIANBET BELGRADE</v>
          </cell>
          <cell r="H85" t="str">
            <v>Pre+Norm+Post</v>
          </cell>
        </row>
        <row r="86">
          <cell r="A86">
            <v>84</v>
          </cell>
          <cell r="B86" t="str">
            <v>9</v>
          </cell>
          <cell r="C86">
            <v>45608</v>
          </cell>
          <cell r="D86">
            <v>0.83333333333333337</v>
          </cell>
          <cell r="E86">
            <v>0.79166666666666663</v>
          </cell>
          <cell r="F86" t="str">
            <v>ALBA BERLIN</v>
          </cell>
          <cell r="G86" t="str">
            <v>EA7 EMPORIO ARMANI MILAN</v>
          </cell>
          <cell r="H86" t="str">
            <v>Norm</v>
          </cell>
        </row>
        <row r="87">
          <cell r="A87">
            <v>85</v>
          </cell>
          <cell r="B87" t="str">
            <v>9</v>
          </cell>
          <cell r="C87">
            <v>45608</v>
          </cell>
          <cell r="D87">
            <v>0.875</v>
          </cell>
          <cell r="E87">
            <v>0.79166666666666663</v>
          </cell>
          <cell r="F87" t="str">
            <v>OLYMPIACOS PIRAEUS</v>
          </cell>
          <cell r="G87" t="str">
            <v>LDLC ASVEL VILLEURBANNE</v>
          </cell>
          <cell r="H87" t="str">
            <v>Norm</v>
          </cell>
        </row>
        <row r="88">
          <cell r="A88">
            <v>86</v>
          </cell>
          <cell r="B88" t="str">
            <v>9</v>
          </cell>
          <cell r="C88">
            <v>45608</v>
          </cell>
          <cell r="D88">
            <v>0.88541666666666663</v>
          </cell>
          <cell r="E88">
            <v>0.80208333333333337</v>
          </cell>
          <cell r="F88" t="str">
            <v>PANATHINAIKOS AKTOR ATHENS</v>
          </cell>
          <cell r="G88" t="str">
            <v>MACCABI PLAYTIKA TEL AVIV</v>
          </cell>
          <cell r="H88" t="str">
            <v>Norm</v>
          </cell>
        </row>
        <row r="89">
          <cell r="A89">
            <v>87</v>
          </cell>
          <cell r="B89" t="str">
            <v>9</v>
          </cell>
          <cell r="C89">
            <v>45608</v>
          </cell>
          <cell r="D89">
            <v>0.85416666666666663</v>
          </cell>
          <cell r="E89">
            <v>0.8125</v>
          </cell>
          <cell r="F89" t="str">
            <v>BASKONIA VITORIA-GASTEIZ</v>
          </cell>
          <cell r="G89" t="str">
            <v>ANADOLU EFES ISTANBUL</v>
          </cell>
          <cell r="H89" t="str">
            <v>Norm</v>
          </cell>
        </row>
        <row r="90">
          <cell r="A90">
            <v>88</v>
          </cell>
          <cell r="B90" t="str">
            <v>9</v>
          </cell>
          <cell r="C90">
            <v>45608</v>
          </cell>
          <cell r="D90">
            <v>0.86458333333333337</v>
          </cell>
          <cell r="E90">
            <v>0.82291666666666663</v>
          </cell>
          <cell r="F90" t="str">
            <v>REAL MADRID</v>
          </cell>
          <cell r="G90" t="str">
            <v>VIRTUS SEGAFREDO BOLOGNA</v>
          </cell>
          <cell r="H90" t="str">
            <v>Norm</v>
          </cell>
        </row>
        <row r="91">
          <cell r="A91">
            <v>89</v>
          </cell>
          <cell r="B91" t="str">
            <v>9</v>
          </cell>
          <cell r="C91">
            <v>45609</v>
          </cell>
          <cell r="D91">
            <v>0.75</v>
          </cell>
          <cell r="E91">
            <v>0.70833333333333337</v>
          </cell>
          <cell r="F91" t="str">
            <v>PARTIZAN MOZZART BET BELGRADE</v>
          </cell>
          <cell r="G91" t="str">
            <v>FC BARCELONA</v>
          </cell>
          <cell r="H91" t="str">
            <v>GOW</v>
          </cell>
        </row>
        <row r="92">
          <cell r="A92">
            <v>90</v>
          </cell>
          <cell r="B92" t="str">
            <v>9</v>
          </cell>
          <cell r="C92">
            <v>45609</v>
          </cell>
          <cell r="D92">
            <v>0.85416666666666663</v>
          </cell>
          <cell r="E92">
            <v>0.8125</v>
          </cell>
          <cell r="F92" t="str">
            <v>PARIS BASKETBALL</v>
          </cell>
          <cell r="G92" t="str">
            <v>ZALGIRIS KAUNAS</v>
          </cell>
          <cell r="H92" t="str">
            <v>Norm</v>
          </cell>
        </row>
        <row r="93">
          <cell r="A93">
            <v>91</v>
          </cell>
          <cell r="B93" t="str">
            <v>-</v>
          </cell>
          <cell r="C93" t="str">
            <v>-</v>
          </cell>
          <cell r="D93" t="str">
            <v>-</v>
          </cell>
          <cell r="E93" t="str">
            <v>-</v>
          </cell>
          <cell r="F93" t="str">
            <v>-</v>
          </cell>
          <cell r="G93" t="str">
            <v>-</v>
          </cell>
          <cell r="H93" t="str">
            <v>Norm</v>
          </cell>
        </row>
        <row r="94">
          <cell r="A94">
            <v>92</v>
          </cell>
          <cell r="B94" t="str">
            <v>10</v>
          </cell>
          <cell r="C94">
            <v>45610</v>
          </cell>
          <cell r="D94">
            <v>0.83333333333333337</v>
          </cell>
          <cell r="E94">
            <v>0.79166666666666663</v>
          </cell>
          <cell r="F94" t="str">
            <v>LDLC ASVEL VILLEURBANNE</v>
          </cell>
          <cell r="G94" t="str">
            <v>CRVENA ZVEZDA MERIDIANBET BELGRADE</v>
          </cell>
          <cell r="H94" t="str">
            <v>Norm+Post</v>
          </cell>
        </row>
        <row r="95">
          <cell r="A95">
            <v>93</v>
          </cell>
          <cell r="B95" t="str">
            <v>10</v>
          </cell>
          <cell r="C95">
            <v>45610</v>
          </cell>
          <cell r="D95">
            <v>0.79166666666666663</v>
          </cell>
          <cell r="E95">
            <v>0.75</v>
          </cell>
          <cell r="F95" t="str">
            <v>MACCABI PLAYTIKA TEL AVIV</v>
          </cell>
          <cell r="G95" t="str">
            <v>OLYMPIACOS PIRAEUS</v>
          </cell>
          <cell r="H95" t="str">
            <v>Pre+Norm+Post</v>
          </cell>
        </row>
        <row r="96">
          <cell r="A96">
            <v>94</v>
          </cell>
          <cell r="B96" t="str">
            <v>10</v>
          </cell>
          <cell r="C96">
            <v>45610</v>
          </cell>
          <cell r="D96">
            <v>0.85416666666666663</v>
          </cell>
          <cell r="E96">
            <v>0.8125</v>
          </cell>
          <cell r="F96" t="str">
            <v>BASKONIA VITORIA-GASTEIZ</v>
          </cell>
          <cell r="G96" t="str">
            <v>AS MONACO</v>
          </cell>
          <cell r="H96" t="str">
            <v>Norm</v>
          </cell>
        </row>
        <row r="97">
          <cell r="A97">
            <v>95</v>
          </cell>
          <cell r="B97" t="str">
            <v>10</v>
          </cell>
          <cell r="C97">
            <v>45610</v>
          </cell>
          <cell r="D97">
            <v>0.85416666666666663</v>
          </cell>
          <cell r="E97">
            <v>0.8125</v>
          </cell>
          <cell r="F97" t="str">
            <v>FC BAYERN MUNICH</v>
          </cell>
          <cell r="G97" t="str">
            <v>ALBA BERLIN</v>
          </cell>
          <cell r="H97" t="str">
            <v>Norm</v>
          </cell>
        </row>
        <row r="98">
          <cell r="A98">
            <v>96</v>
          </cell>
          <cell r="B98" t="str">
            <v>10</v>
          </cell>
          <cell r="C98">
            <v>45610</v>
          </cell>
          <cell r="D98">
            <v>0.86458333333333337</v>
          </cell>
          <cell r="E98">
            <v>0.82291666666666663</v>
          </cell>
          <cell r="F98" t="str">
            <v>REAL MADRID</v>
          </cell>
          <cell r="G98" t="str">
            <v>ANADOLU EFES ISTANBUL</v>
          </cell>
          <cell r="H98" t="str">
            <v>Norm</v>
          </cell>
        </row>
        <row r="99">
          <cell r="A99">
            <v>97</v>
          </cell>
          <cell r="B99" t="str">
            <v>10</v>
          </cell>
          <cell r="C99">
            <v>45611</v>
          </cell>
          <cell r="D99">
            <v>0.83333333333333337</v>
          </cell>
          <cell r="E99">
            <v>0.75</v>
          </cell>
          <cell r="F99" t="str">
            <v>ZALGIRIS KAUNAS</v>
          </cell>
          <cell r="G99" t="str">
            <v>FENERBAHCE BEKO ISTANBUL</v>
          </cell>
          <cell r="H99" t="str">
            <v>GOW</v>
          </cell>
        </row>
        <row r="100">
          <cell r="A100">
            <v>98</v>
          </cell>
          <cell r="B100" t="str">
            <v>10</v>
          </cell>
          <cell r="C100">
            <v>45611</v>
          </cell>
          <cell r="D100">
            <v>0.85416666666666663</v>
          </cell>
          <cell r="E100">
            <v>0.8125</v>
          </cell>
          <cell r="F100" t="str">
            <v>FC BARCELONA</v>
          </cell>
          <cell r="G100" t="str">
            <v>PARIS BASKETBALL</v>
          </cell>
          <cell r="H100" t="str">
            <v>Norm</v>
          </cell>
        </row>
        <row r="101">
          <cell r="A101">
            <v>99</v>
          </cell>
          <cell r="B101" t="str">
            <v>10</v>
          </cell>
          <cell r="C101">
            <v>45611</v>
          </cell>
          <cell r="D101">
            <v>0.85416666666666663</v>
          </cell>
          <cell r="E101">
            <v>0.8125</v>
          </cell>
          <cell r="F101" t="str">
            <v>PARTIZAN MOZZART BET BELGRADE</v>
          </cell>
          <cell r="G101" t="str">
            <v>EA7 EMPORIO ARMANI MILAN</v>
          </cell>
          <cell r="H101" t="str">
            <v>Norm</v>
          </cell>
        </row>
        <row r="102">
          <cell r="A102">
            <v>100</v>
          </cell>
          <cell r="B102" t="str">
            <v>10</v>
          </cell>
          <cell r="C102">
            <v>45611</v>
          </cell>
          <cell r="D102">
            <v>0.85416666666666663</v>
          </cell>
          <cell r="E102">
            <v>0.8125</v>
          </cell>
          <cell r="F102" t="str">
            <v>VIRTUS SEGAFREDO BOLOGNA</v>
          </cell>
          <cell r="G102" t="str">
            <v>PANATHINAIKOS AKTOR ATHENS</v>
          </cell>
          <cell r="H102" t="str">
            <v>Norm+Post</v>
          </cell>
        </row>
        <row r="103">
          <cell r="A103">
            <v>101</v>
          </cell>
          <cell r="B103" t="str">
            <v>-</v>
          </cell>
          <cell r="C103" t="str">
            <v>-</v>
          </cell>
          <cell r="D103" t="str">
            <v>-</v>
          </cell>
          <cell r="E103" t="str">
            <v>-</v>
          </cell>
          <cell r="F103" t="str">
            <v>-</v>
          </cell>
          <cell r="G103" t="str">
            <v>-</v>
          </cell>
          <cell r="H103" t="str">
            <v>Norm</v>
          </cell>
        </row>
        <row r="104">
          <cell r="A104">
            <v>102</v>
          </cell>
          <cell r="B104" t="str">
            <v>11</v>
          </cell>
          <cell r="C104">
            <v>45616</v>
          </cell>
          <cell r="D104">
            <v>0.85416666666666663</v>
          </cell>
          <cell r="E104">
            <v>0.8125</v>
          </cell>
          <cell r="F104" t="str">
            <v>VIRTUS SEGAFREDO BOLOGNA</v>
          </cell>
          <cell r="G104" t="str">
            <v>FENERBAHCE BEKO ISTANBUL</v>
          </cell>
          <cell r="H104" t="str">
            <v>Norm</v>
          </cell>
        </row>
        <row r="105">
          <cell r="A105">
            <v>103</v>
          </cell>
          <cell r="B105" t="str">
            <v>11</v>
          </cell>
          <cell r="C105">
            <v>45617</v>
          </cell>
          <cell r="D105">
            <v>0.85416666666666663</v>
          </cell>
          <cell r="E105">
            <v>0.72916666666666663</v>
          </cell>
          <cell r="F105" t="str">
            <v>ANADOLU EFES ISTANBUL</v>
          </cell>
          <cell r="G105" t="str">
            <v>PARIS BASKETBALL</v>
          </cell>
          <cell r="H105" t="str">
            <v>Norm</v>
          </cell>
        </row>
        <row r="106">
          <cell r="A106">
            <v>104</v>
          </cell>
          <cell r="B106" t="str">
            <v>11</v>
          </cell>
          <cell r="C106">
            <v>45617</v>
          </cell>
          <cell r="D106">
            <v>0.79166666666666663</v>
          </cell>
          <cell r="E106">
            <v>0.75</v>
          </cell>
          <cell r="F106" t="str">
            <v>AS MONACO</v>
          </cell>
          <cell r="G106" t="str">
            <v>LDLC ASVEL VILLEURBANNE</v>
          </cell>
          <cell r="H106" t="str">
            <v>Norm</v>
          </cell>
        </row>
        <row r="107">
          <cell r="A107">
            <v>105</v>
          </cell>
          <cell r="B107" t="str">
            <v>11</v>
          </cell>
          <cell r="C107">
            <v>45617</v>
          </cell>
          <cell r="D107">
            <v>0.83333333333333337</v>
          </cell>
          <cell r="E107">
            <v>0.79166666666666663</v>
          </cell>
          <cell r="F107" t="str">
            <v>CRVENA ZVEZDA MERIDIANBET BELGRADE</v>
          </cell>
          <cell r="G107" t="str">
            <v>PARTIZAN MOZZART BET BELGRADE</v>
          </cell>
          <cell r="H107" t="str">
            <v>GOW</v>
          </cell>
        </row>
        <row r="108">
          <cell r="A108">
            <v>106</v>
          </cell>
          <cell r="B108" t="str">
            <v>11</v>
          </cell>
          <cell r="C108">
            <v>45617</v>
          </cell>
          <cell r="D108">
            <v>0.88541666666666663</v>
          </cell>
          <cell r="E108">
            <v>0.80208333333333337</v>
          </cell>
          <cell r="F108" t="str">
            <v>OLYMPIACOS PIRAEUS</v>
          </cell>
          <cell r="G108" t="str">
            <v>BASKONIA VITORIA-GASTEIZ</v>
          </cell>
          <cell r="H108" t="str">
            <v>Norm</v>
          </cell>
        </row>
        <row r="109">
          <cell r="A109">
            <v>107</v>
          </cell>
          <cell r="B109" t="str">
            <v>11</v>
          </cell>
          <cell r="C109">
            <v>45617</v>
          </cell>
          <cell r="D109">
            <v>0.85416666666666663</v>
          </cell>
          <cell r="E109">
            <v>0.8125</v>
          </cell>
          <cell r="F109" t="str">
            <v>EA7 EMPORIO ARMANI MILAN</v>
          </cell>
          <cell r="G109" t="str">
            <v>MACCABI PLAYTIKA TEL AVIV</v>
          </cell>
          <cell r="H109" t="str">
            <v>Norm</v>
          </cell>
        </row>
        <row r="110">
          <cell r="A110">
            <v>108</v>
          </cell>
          <cell r="B110" t="str">
            <v>11</v>
          </cell>
          <cell r="C110">
            <v>45617</v>
          </cell>
          <cell r="D110">
            <v>0.86458333333333337</v>
          </cell>
          <cell r="E110">
            <v>0.82291666666666663</v>
          </cell>
          <cell r="F110" t="str">
            <v>REAL MADRID</v>
          </cell>
          <cell r="G110" t="str">
            <v>ALBA BERLIN</v>
          </cell>
          <cell r="H110" t="str">
            <v>Norm</v>
          </cell>
        </row>
        <row r="111">
          <cell r="A111">
            <v>109</v>
          </cell>
          <cell r="B111" t="str">
            <v>11</v>
          </cell>
          <cell r="C111">
            <v>45618</v>
          </cell>
          <cell r="D111">
            <v>0.83333333333333337</v>
          </cell>
          <cell r="E111">
            <v>0.75</v>
          </cell>
          <cell r="F111" t="str">
            <v>ZALGIRIS KAUNAS</v>
          </cell>
          <cell r="G111" t="str">
            <v>PANATHINAIKOS AKTOR ATHENS</v>
          </cell>
          <cell r="H111" t="str">
            <v>Norm+Post</v>
          </cell>
        </row>
        <row r="112">
          <cell r="A112">
            <v>110</v>
          </cell>
          <cell r="B112" t="str">
            <v>11</v>
          </cell>
          <cell r="C112">
            <v>45618</v>
          </cell>
          <cell r="D112">
            <v>0.85416666666666663</v>
          </cell>
          <cell r="E112">
            <v>0.8125</v>
          </cell>
          <cell r="F112" t="str">
            <v>FC BAYERN MUNICH</v>
          </cell>
          <cell r="G112" t="str">
            <v>FC BARCELONA</v>
          </cell>
          <cell r="H112" t="str">
            <v>Norm</v>
          </cell>
        </row>
        <row r="113">
          <cell r="A113">
            <v>111</v>
          </cell>
          <cell r="B113" t="str">
            <v>-</v>
          </cell>
          <cell r="C113" t="str">
            <v>-</v>
          </cell>
          <cell r="D113" t="str">
            <v>-</v>
          </cell>
          <cell r="E113" t="str">
            <v>-</v>
          </cell>
          <cell r="F113" t="str">
            <v>-</v>
          </cell>
          <cell r="G113" t="str">
            <v>-</v>
          </cell>
          <cell r="H113" t="str">
            <v>Norm</v>
          </cell>
        </row>
        <row r="114">
          <cell r="A114">
            <v>112</v>
          </cell>
          <cell r="B114" t="str">
            <v>12</v>
          </cell>
          <cell r="C114">
            <v>45624</v>
          </cell>
          <cell r="D114">
            <v>0.83333333333333337</v>
          </cell>
          <cell r="E114">
            <v>0.75</v>
          </cell>
          <cell r="F114" t="str">
            <v>ZALGIRIS KAUNAS</v>
          </cell>
          <cell r="G114" t="str">
            <v>BASKONIA VITORIA-GASTEIZ</v>
          </cell>
          <cell r="H114" t="str">
            <v>Norm</v>
          </cell>
        </row>
        <row r="115">
          <cell r="A115">
            <v>113</v>
          </cell>
          <cell r="B115" t="str">
            <v>12</v>
          </cell>
          <cell r="C115">
            <v>45624</v>
          </cell>
          <cell r="D115">
            <v>0.83333333333333337</v>
          </cell>
          <cell r="E115">
            <v>0.79166666666666663</v>
          </cell>
          <cell r="F115" t="str">
            <v>ALBA BERLIN</v>
          </cell>
          <cell r="G115" t="str">
            <v>MACCABI PLAYTIKA TEL AVIV</v>
          </cell>
          <cell r="H115" t="str">
            <v>Norm</v>
          </cell>
        </row>
        <row r="116">
          <cell r="A116">
            <v>114</v>
          </cell>
          <cell r="B116" t="str">
            <v>12</v>
          </cell>
          <cell r="C116">
            <v>45624</v>
          </cell>
          <cell r="D116">
            <v>0.85416666666666663</v>
          </cell>
          <cell r="E116">
            <v>0.8125</v>
          </cell>
          <cell r="F116" t="str">
            <v>PARIS BASKETBALL</v>
          </cell>
          <cell r="G116" t="str">
            <v>VIRTUS SEGAFREDO BOLOGNA</v>
          </cell>
          <cell r="H116" t="str">
            <v>Norm</v>
          </cell>
        </row>
        <row r="117">
          <cell r="A117">
            <v>115</v>
          </cell>
          <cell r="B117" t="str">
            <v>12</v>
          </cell>
          <cell r="C117">
            <v>45624</v>
          </cell>
          <cell r="D117">
            <v>0.85416666666666663</v>
          </cell>
          <cell r="E117">
            <v>0.8125</v>
          </cell>
          <cell r="F117" t="str">
            <v>PARTIZAN MOZZART BET BELGRADE</v>
          </cell>
          <cell r="G117" t="str">
            <v>OLYMPIACOS PIRAEUS</v>
          </cell>
          <cell r="H117" t="str">
            <v>Norm</v>
          </cell>
        </row>
        <row r="118">
          <cell r="A118">
            <v>116</v>
          </cell>
          <cell r="B118" t="str">
            <v>12</v>
          </cell>
          <cell r="C118">
            <v>45624</v>
          </cell>
          <cell r="D118">
            <v>0.86458333333333337</v>
          </cell>
          <cell r="E118">
            <v>0.82291666666666663</v>
          </cell>
          <cell r="F118" t="str">
            <v>FC BARCELONA</v>
          </cell>
          <cell r="G118" t="str">
            <v>REAL MADRID</v>
          </cell>
          <cell r="H118" t="str">
            <v>GOW</v>
          </cell>
        </row>
        <row r="119">
          <cell r="A119">
            <v>117</v>
          </cell>
          <cell r="B119" t="str">
            <v>12</v>
          </cell>
          <cell r="C119">
            <v>45625</v>
          </cell>
          <cell r="D119">
            <v>0.86458333333333337</v>
          </cell>
          <cell r="E119">
            <v>0.73958333333333337</v>
          </cell>
          <cell r="F119" t="str">
            <v>FENERBAHCE BEKO ISTANBUL</v>
          </cell>
          <cell r="G119" t="str">
            <v>EA7 EMPORIO ARMANI MILAN</v>
          </cell>
          <cell r="H119" t="str">
            <v>Norm</v>
          </cell>
        </row>
        <row r="120">
          <cell r="A120">
            <v>118</v>
          </cell>
          <cell r="B120" t="str">
            <v>12</v>
          </cell>
          <cell r="C120">
            <v>45625</v>
          </cell>
          <cell r="D120">
            <v>0.83333333333333337</v>
          </cell>
          <cell r="E120">
            <v>0.79166666666666663</v>
          </cell>
          <cell r="F120" t="str">
            <v>CRVENA ZVEZDA MERIDIANBET BELGRADE</v>
          </cell>
          <cell r="G120" t="str">
            <v>FC BAYERN MUNICH</v>
          </cell>
          <cell r="H120" t="str">
            <v>Norm</v>
          </cell>
        </row>
        <row r="121">
          <cell r="A121">
            <v>119</v>
          </cell>
          <cell r="B121" t="str">
            <v>12</v>
          </cell>
          <cell r="C121">
            <v>45625</v>
          </cell>
          <cell r="D121">
            <v>0.88541666666666663</v>
          </cell>
          <cell r="E121">
            <v>0.80208333333333337</v>
          </cell>
          <cell r="F121" t="str">
            <v>PANATHINAIKOS AKTOR ATHENS</v>
          </cell>
          <cell r="G121" t="str">
            <v>AS MONACO</v>
          </cell>
          <cell r="H121" t="str">
            <v>Norm</v>
          </cell>
        </row>
        <row r="122">
          <cell r="A122">
            <v>120</v>
          </cell>
          <cell r="B122" t="str">
            <v>12</v>
          </cell>
          <cell r="C122">
            <v>45625</v>
          </cell>
          <cell r="D122">
            <v>0.875</v>
          </cell>
          <cell r="E122">
            <v>0.83333333333333337</v>
          </cell>
          <cell r="F122" t="str">
            <v>LDLC ASVEL VILLEURBANNE</v>
          </cell>
          <cell r="G122" t="str">
            <v>ANADOLU EFES ISTANBUL</v>
          </cell>
          <cell r="H122" t="str">
            <v>Norm</v>
          </cell>
        </row>
        <row r="123">
          <cell r="A123">
            <v>121</v>
          </cell>
          <cell r="B123" t="str">
            <v>-</v>
          </cell>
          <cell r="C123" t="str">
            <v>-</v>
          </cell>
          <cell r="D123" t="str">
            <v>-</v>
          </cell>
          <cell r="E123" t="str">
            <v>-</v>
          </cell>
          <cell r="F123" t="str">
            <v>-</v>
          </cell>
          <cell r="G123" t="str">
            <v>-</v>
          </cell>
          <cell r="H123" t="str">
            <v>Norm</v>
          </cell>
        </row>
        <row r="124">
          <cell r="A124">
            <v>122</v>
          </cell>
          <cell r="B124" t="str">
            <v>13</v>
          </cell>
          <cell r="C124">
            <v>45629</v>
          </cell>
          <cell r="D124">
            <v>0.85416666666666663</v>
          </cell>
          <cell r="E124">
            <v>0.72916666666666663</v>
          </cell>
          <cell r="F124" t="str">
            <v>ANADOLU EFES ISTANBUL</v>
          </cell>
          <cell r="G124" t="str">
            <v>FC BAYERN MUNICH</v>
          </cell>
          <cell r="H124" t="str">
            <v>Norm</v>
          </cell>
        </row>
        <row r="125">
          <cell r="A125">
            <v>123</v>
          </cell>
          <cell r="B125" t="str">
            <v>13</v>
          </cell>
          <cell r="C125">
            <v>45629</v>
          </cell>
          <cell r="D125">
            <v>0.83333333333333337</v>
          </cell>
          <cell r="E125">
            <v>0.79166666666666663</v>
          </cell>
          <cell r="F125" t="str">
            <v>LDLC ASVEL VILLEURBANNE</v>
          </cell>
          <cell r="G125" t="str">
            <v>REAL MADRID</v>
          </cell>
          <cell r="H125" t="str">
            <v>Norm</v>
          </cell>
        </row>
        <row r="126">
          <cell r="A126">
            <v>124</v>
          </cell>
          <cell r="B126" t="str">
            <v>13</v>
          </cell>
          <cell r="C126">
            <v>45629</v>
          </cell>
          <cell r="D126">
            <v>0.83680555555555558</v>
          </cell>
          <cell r="E126">
            <v>0.79513888888888884</v>
          </cell>
          <cell r="F126" t="str">
            <v>MACCABI PLAYTIKA TEL AVIV</v>
          </cell>
          <cell r="G126" t="str">
            <v>PARIS BASKETBALL</v>
          </cell>
          <cell r="H126" t="str">
            <v>Norm</v>
          </cell>
        </row>
        <row r="127">
          <cell r="A127">
            <v>125</v>
          </cell>
          <cell r="B127" t="str">
            <v>13</v>
          </cell>
          <cell r="C127">
            <v>45629</v>
          </cell>
          <cell r="D127">
            <v>0.88541666666666663</v>
          </cell>
          <cell r="E127">
            <v>0.80208333333333337</v>
          </cell>
          <cell r="F127" t="str">
            <v>PANATHINAIKOS AKTOR ATHENS</v>
          </cell>
          <cell r="G127" t="str">
            <v>FC BARCELONA</v>
          </cell>
          <cell r="H127" t="str">
            <v>Norm</v>
          </cell>
        </row>
        <row r="128">
          <cell r="A128">
            <v>126</v>
          </cell>
          <cell r="B128" t="str">
            <v>13</v>
          </cell>
          <cell r="C128">
            <v>45629</v>
          </cell>
          <cell r="D128">
            <v>0.85416666666666663</v>
          </cell>
          <cell r="E128">
            <v>0.8125</v>
          </cell>
          <cell r="F128" t="str">
            <v>BASKONIA VITORIA-GASTEIZ</v>
          </cell>
          <cell r="G128" t="str">
            <v>FENERBAHCE BEKO ISTANBUL</v>
          </cell>
          <cell r="H128" t="str">
            <v>Norm</v>
          </cell>
        </row>
        <row r="129">
          <cell r="A129">
            <v>127</v>
          </cell>
          <cell r="B129" t="str">
            <v>13</v>
          </cell>
          <cell r="C129">
            <v>45629</v>
          </cell>
          <cell r="D129">
            <v>0.85416666666666663</v>
          </cell>
          <cell r="E129">
            <v>0.8125</v>
          </cell>
          <cell r="F129" t="str">
            <v>PARTIZAN MOZZART BET BELGRADE</v>
          </cell>
          <cell r="G129" t="str">
            <v>ZALGIRIS KAUNAS</v>
          </cell>
          <cell r="H129" t="str">
            <v>Norm</v>
          </cell>
        </row>
        <row r="130">
          <cell r="A130">
            <v>128</v>
          </cell>
          <cell r="B130" t="str">
            <v>13</v>
          </cell>
          <cell r="C130">
            <v>45630</v>
          </cell>
          <cell r="D130">
            <v>0.79166666666666663</v>
          </cell>
          <cell r="E130">
            <v>0.75</v>
          </cell>
          <cell r="F130" t="str">
            <v>AS MONACO</v>
          </cell>
          <cell r="G130" t="str">
            <v>OLYMPIACOS PIRAEUS</v>
          </cell>
          <cell r="H130" t="str">
            <v>GOW+Post</v>
          </cell>
        </row>
        <row r="131">
          <cell r="A131">
            <v>129</v>
          </cell>
          <cell r="B131" t="str">
            <v>13</v>
          </cell>
          <cell r="C131">
            <v>45630</v>
          </cell>
          <cell r="D131">
            <v>0.85416666666666663</v>
          </cell>
          <cell r="E131">
            <v>0.8125</v>
          </cell>
          <cell r="F131" t="str">
            <v>EA7 EMPORIO ARMANI MILAN</v>
          </cell>
          <cell r="G131" t="str">
            <v>CRVENA ZVEZDA MERIDIANBET BELGRADE</v>
          </cell>
          <cell r="H131" t="str">
            <v>Pre+Norm+Post</v>
          </cell>
        </row>
        <row r="132">
          <cell r="A132">
            <v>130</v>
          </cell>
          <cell r="B132" t="str">
            <v>13</v>
          </cell>
          <cell r="C132">
            <v>45630</v>
          </cell>
          <cell r="D132">
            <v>0.86458333333333337</v>
          </cell>
          <cell r="E132">
            <v>0.82291666666666663</v>
          </cell>
          <cell r="F132" t="str">
            <v>VIRTUS SEGAFREDO BOLOGNA</v>
          </cell>
          <cell r="G132" t="str">
            <v>ALBA BERLIN</v>
          </cell>
          <cell r="H132" t="str">
            <v>Norm</v>
          </cell>
        </row>
        <row r="133">
          <cell r="A133">
            <v>131</v>
          </cell>
          <cell r="B133" t="str">
            <v>-</v>
          </cell>
          <cell r="C133" t="str">
            <v>-</v>
          </cell>
          <cell r="D133" t="str">
            <v>-</v>
          </cell>
          <cell r="E133" t="str">
            <v>-</v>
          </cell>
          <cell r="F133" t="str">
            <v>-</v>
          </cell>
          <cell r="G133" t="str">
            <v>-</v>
          </cell>
          <cell r="H133" t="str">
            <v>Norm</v>
          </cell>
        </row>
        <row r="134">
          <cell r="A134">
            <v>132</v>
          </cell>
          <cell r="B134" t="str">
            <v>14</v>
          </cell>
          <cell r="C134">
            <v>45631</v>
          </cell>
          <cell r="D134">
            <v>0.83333333333333337</v>
          </cell>
          <cell r="E134">
            <v>0.75</v>
          </cell>
          <cell r="F134" t="str">
            <v>ZALGIRIS KAUNAS</v>
          </cell>
          <cell r="G134" t="str">
            <v>ANADOLU EFES ISTANBUL</v>
          </cell>
          <cell r="H134" t="str">
            <v>Norm</v>
          </cell>
        </row>
        <row r="135">
          <cell r="A135">
            <v>133</v>
          </cell>
          <cell r="B135" t="str">
            <v>14</v>
          </cell>
          <cell r="C135">
            <v>45631</v>
          </cell>
          <cell r="D135">
            <v>0.83680555555555558</v>
          </cell>
          <cell r="E135">
            <v>0.79513888888888884</v>
          </cell>
          <cell r="F135" t="str">
            <v>MACCABI PLAYTIKA TEL AVIV</v>
          </cell>
          <cell r="G135" t="str">
            <v>FC BARCELONA</v>
          </cell>
          <cell r="H135" t="str">
            <v>Norm</v>
          </cell>
        </row>
        <row r="136">
          <cell r="A136">
            <v>134</v>
          </cell>
          <cell r="B136" t="str">
            <v>14</v>
          </cell>
          <cell r="C136">
            <v>45631</v>
          </cell>
          <cell r="D136">
            <v>0.85416666666666663</v>
          </cell>
          <cell r="E136">
            <v>0.8125</v>
          </cell>
          <cell r="F136" t="str">
            <v>FC BAYERN MUNICH</v>
          </cell>
          <cell r="G136" t="str">
            <v>BASKONIA VITORIA-GASTEIZ</v>
          </cell>
          <cell r="H136" t="str">
            <v>Norm</v>
          </cell>
        </row>
        <row r="137">
          <cell r="A137">
            <v>135</v>
          </cell>
          <cell r="B137" t="str">
            <v>14</v>
          </cell>
          <cell r="C137">
            <v>45631</v>
          </cell>
          <cell r="D137">
            <v>0.85416666666666663</v>
          </cell>
          <cell r="E137">
            <v>0.8125</v>
          </cell>
          <cell r="F137" t="str">
            <v>PARTIZAN MOZZART BET BELGRADE</v>
          </cell>
          <cell r="G137" t="str">
            <v>PANATHINAIKOS AKTOR ATHENS</v>
          </cell>
          <cell r="H137" t="str">
            <v>Norm</v>
          </cell>
        </row>
        <row r="138">
          <cell r="A138">
            <v>136</v>
          </cell>
          <cell r="B138" t="str">
            <v>14</v>
          </cell>
          <cell r="C138">
            <v>45631</v>
          </cell>
          <cell r="D138">
            <v>0.86458333333333337</v>
          </cell>
          <cell r="E138">
            <v>0.82291666666666663</v>
          </cell>
          <cell r="F138" t="str">
            <v>REAL MADRID</v>
          </cell>
          <cell r="G138" t="str">
            <v>FENERBAHCE BEKO ISTANBUL</v>
          </cell>
          <cell r="H138" t="str">
            <v>GOW</v>
          </cell>
        </row>
        <row r="139">
          <cell r="A139">
            <v>137</v>
          </cell>
          <cell r="B139" t="str">
            <v>14</v>
          </cell>
          <cell r="C139">
            <v>45632</v>
          </cell>
          <cell r="D139">
            <v>0.79166666666666663</v>
          </cell>
          <cell r="E139">
            <v>0.75</v>
          </cell>
          <cell r="F139" t="str">
            <v>AS MONACO</v>
          </cell>
          <cell r="G139" t="str">
            <v>ALBA BERLIN</v>
          </cell>
          <cell r="H139" t="str">
            <v>Norm</v>
          </cell>
        </row>
        <row r="140">
          <cell r="A140">
            <v>138</v>
          </cell>
          <cell r="B140" t="str">
            <v>14</v>
          </cell>
          <cell r="C140">
            <v>45632</v>
          </cell>
          <cell r="D140">
            <v>0.88541666666666663</v>
          </cell>
          <cell r="E140">
            <v>0.80208333333333337</v>
          </cell>
          <cell r="F140" t="str">
            <v>OLYMPIACOS PIRAEUS</v>
          </cell>
          <cell r="G140" t="str">
            <v>PARIS BASKETBALL</v>
          </cell>
          <cell r="H140" t="str">
            <v>Norm</v>
          </cell>
        </row>
        <row r="141">
          <cell r="A141">
            <v>139</v>
          </cell>
          <cell r="B141" t="str">
            <v>14</v>
          </cell>
          <cell r="C141">
            <v>45632</v>
          </cell>
          <cell r="D141">
            <v>0.85416666666666663</v>
          </cell>
          <cell r="E141">
            <v>0.8125</v>
          </cell>
          <cell r="F141" t="str">
            <v>VIRTUS SEGAFREDO BOLOGNA</v>
          </cell>
          <cell r="G141" t="str">
            <v>CRVENA ZVEZDA MERIDIANBET BELGRADE</v>
          </cell>
          <cell r="H141" t="str">
            <v>Pre+Norm+Post</v>
          </cell>
        </row>
        <row r="142">
          <cell r="A142">
            <v>140</v>
          </cell>
          <cell r="B142" t="str">
            <v>14</v>
          </cell>
          <cell r="C142">
            <v>45632</v>
          </cell>
          <cell r="D142">
            <v>0.86458333333333337</v>
          </cell>
          <cell r="E142">
            <v>0.82291666666666663</v>
          </cell>
          <cell r="F142" t="str">
            <v>EA7 EMPORIO ARMANI MILAN</v>
          </cell>
          <cell r="G142" t="str">
            <v>LDLC ASVEL VILLEURBANNE</v>
          </cell>
          <cell r="H142" t="str">
            <v>Norm</v>
          </cell>
        </row>
        <row r="143">
          <cell r="A143">
            <v>141</v>
          </cell>
          <cell r="B143" t="str">
            <v>-</v>
          </cell>
          <cell r="C143" t="str">
            <v>-</v>
          </cell>
          <cell r="D143" t="str">
            <v>-</v>
          </cell>
          <cell r="E143" t="str">
            <v>-</v>
          </cell>
          <cell r="F143" t="str">
            <v>-</v>
          </cell>
          <cell r="G143" t="str">
            <v>-</v>
          </cell>
          <cell r="H143" t="str">
            <v>Norm</v>
          </cell>
        </row>
        <row r="144">
          <cell r="A144">
            <v>142</v>
          </cell>
          <cell r="B144" t="str">
            <v>15</v>
          </cell>
          <cell r="C144">
            <v>45638</v>
          </cell>
          <cell r="D144">
            <v>0.86458333333333337</v>
          </cell>
          <cell r="E144">
            <v>0.73958333333333337</v>
          </cell>
          <cell r="F144" t="str">
            <v>FENERBAHCE BEKO ISTANBUL</v>
          </cell>
          <cell r="G144" t="str">
            <v>AS MONACO</v>
          </cell>
          <cell r="H144" t="str">
            <v>Norm</v>
          </cell>
        </row>
        <row r="145">
          <cell r="A145">
            <v>143</v>
          </cell>
          <cell r="B145" t="str">
            <v>15</v>
          </cell>
          <cell r="C145">
            <v>45638</v>
          </cell>
          <cell r="D145">
            <v>0.79166666666666663</v>
          </cell>
          <cell r="E145">
            <v>0.75</v>
          </cell>
          <cell r="F145" t="str">
            <v>ALBA BERLIN</v>
          </cell>
          <cell r="G145" t="str">
            <v>PARTIZAN MOZZART BET BELGRADE</v>
          </cell>
          <cell r="H145" t="str">
            <v>Pre+Norm+Post</v>
          </cell>
        </row>
        <row r="146">
          <cell r="A146">
            <v>144</v>
          </cell>
          <cell r="B146" t="str">
            <v>15</v>
          </cell>
          <cell r="C146">
            <v>45638</v>
          </cell>
          <cell r="D146">
            <v>0.85416666666666663</v>
          </cell>
          <cell r="E146">
            <v>0.8125</v>
          </cell>
          <cell r="F146" t="str">
            <v>BASKONIA VITORIA-GASTEIZ</v>
          </cell>
          <cell r="G146" t="str">
            <v>VIRTUS SEGAFREDO BOLOGNA</v>
          </cell>
          <cell r="H146" t="str">
            <v>Norm</v>
          </cell>
        </row>
        <row r="147">
          <cell r="A147">
            <v>145</v>
          </cell>
          <cell r="B147" t="str">
            <v>15</v>
          </cell>
          <cell r="C147">
            <v>45638</v>
          </cell>
          <cell r="D147">
            <v>0.86458333333333337</v>
          </cell>
          <cell r="E147">
            <v>0.82291666666666663</v>
          </cell>
          <cell r="F147" t="str">
            <v>FC BAYERN MUNICH</v>
          </cell>
          <cell r="G147" t="str">
            <v>MACCABI PLAYTIKA TEL AVIV</v>
          </cell>
          <cell r="H147" t="str">
            <v>Norm</v>
          </cell>
        </row>
        <row r="148">
          <cell r="A148">
            <v>146</v>
          </cell>
          <cell r="B148" t="str">
            <v>15</v>
          </cell>
          <cell r="C148">
            <v>45638</v>
          </cell>
          <cell r="D148">
            <v>0.86458333333333337</v>
          </cell>
          <cell r="E148">
            <v>0.82291666666666663</v>
          </cell>
          <cell r="F148" t="str">
            <v>REAL MADRID</v>
          </cell>
          <cell r="G148" t="str">
            <v>ZALGIRIS KAUNAS</v>
          </cell>
          <cell r="H148" t="str">
            <v>Norm</v>
          </cell>
        </row>
        <row r="149">
          <cell r="A149">
            <v>147</v>
          </cell>
          <cell r="B149" t="str">
            <v>15</v>
          </cell>
          <cell r="C149">
            <v>45639</v>
          </cell>
          <cell r="D149">
            <v>0.85416666666666663</v>
          </cell>
          <cell r="E149">
            <v>0.72916666666666663</v>
          </cell>
          <cell r="F149" t="str">
            <v>ANADOLU EFES ISTANBUL</v>
          </cell>
          <cell r="G149" t="str">
            <v>PANATHINAIKOS AKTOR ATHENS</v>
          </cell>
          <cell r="H149" t="str">
            <v>Norm+Post</v>
          </cell>
        </row>
        <row r="150">
          <cell r="A150">
            <v>148</v>
          </cell>
          <cell r="B150" t="str">
            <v>15</v>
          </cell>
          <cell r="C150">
            <v>45639</v>
          </cell>
          <cell r="D150">
            <v>0.85416666666666663</v>
          </cell>
          <cell r="E150">
            <v>0.8125</v>
          </cell>
          <cell r="F150" t="str">
            <v>CRVENA ZVEZDA MERIDIANBET BELGRADE</v>
          </cell>
          <cell r="G150" t="str">
            <v>OLYMPIACOS PIRAEUS</v>
          </cell>
          <cell r="H150" t="str">
            <v>Norm</v>
          </cell>
        </row>
        <row r="151">
          <cell r="A151">
            <v>149</v>
          </cell>
          <cell r="B151" t="str">
            <v>15</v>
          </cell>
          <cell r="C151">
            <v>45639</v>
          </cell>
          <cell r="D151">
            <v>0.85416666666666663</v>
          </cell>
          <cell r="E151">
            <v>0.8125</v>
          </cell>
          <cell r="F151" t="str">
            <v>FC BARCELONA</v>
          </cell>
          <cell r="G151" t="str">
            <v>EA7 EMPORIO ARMANI MILAN</v>
          </cell>
          <cell r="H151" t="str">
            <v>Norm</v>
          </cell>
        </row>
        <row r="152">
          <cell r="A152">
            <v>150</v>
          </cell>
          <cell r="B152" t="str">
            <v>15</v>
          </cell>
          <cell r="C152">
            <v>45639</v>
          </cell>
          <cell r="D152">
            <v>0.875</v>
          </cell>
          <cell r="E152">
            <v>0.83333333333333337</v>
          </cell>
          <cell r="F152" t="str">
            <v>LDLC ASVEL VILLEURBANNE</v>
          </cell>
          <cell r="G152" t="str">
            <v>PARIS BASKETBALL</v>
          </cell>
          <cell r="H152" t="str">
            <v>GOW</v>
          </cell>
        </row>
        <row r="153">
          <cell r="A153">
            <v>151</v>
          </cell>
          <cell r="B153" t="str">
            <v>-</v>
          </cell>
          <cell r="C153" t="str">
            <v>-</v>
          </cell>
          <cell r="D153" t="str">
            <v>-</v>
          </cell>
          <cell r="E153" t="str">
            <v>-</v>
          </cell>
          <cell r="F153" t="str">
            <v>-</v>
          </cell>
          <cell r="G153" t="str">
            <v>-</v>
          </cell>
          <cell r="H153" t="str">
            <v>Norm</v>
          </cell>
        </row>
        <row r="154">
          <cell r="A154">
            <v>152</v>
          </cell>
          <cell r="B154" t="str">
            <v>16</v>
          </cell>
          <cell r="C154">
            <v>45643</v>
          </cell>
          <cell r="D154">
            <v>0.79166666666666663</v>
          </cell>
          <cell r="E154">
            <v>0.75</v>
          </cell>
          <cell r="F154" t="str">
            <v>AS MONACO</v>
          </cell>
          <cell r="G154" t="str">
            <v>FC BAYERN MUNICH</v>
          </cell>
          <cell r="H154" t="str">
            <v>Norm</v>
          </cell>
        </row>
        <row r="155">
          <cell r="A155">
            <v>153</v>
          </cell>
          <cell r="B155" t="str">
            <v>16</v>
          </cell>
          <cell r="C155">
            <v>45643</v>
          </cell>
          <cell r="D155">
            <v>0.83680555555555558</v>
          </cell>
          <cell r="E155">
            <v>0.79513888888888884</v>
          </cell>
          <cell r="F155" t="str">
            <v>MACCABI PLAYTIKA TEL AVIV</v>
          </cell>
          <cell r="G155" t="str">
            <v>BASKONIA VITORIA-GASTEIZ</v>
          </cell>
          <cell r="H155" t="str">
            <v>Norm</v>
          </cell>
        </row>
        <row r="156">
          <cell r="A156">
            <v>154</v>
          </cell>
          <cell r="B156" t="str">
            <v>16</v>
          </cell>
          <cell r="C156">
            <v>45643</v>
          </cell>
          <cell r="D156">
            <v>0.88541666666666663</v>
          </cell>
          <cell r="E156">
            <v>0.80208333333333337</v>
          </cell>
          <cell r="F156" t="str">
            <v>PANATHINAIKOS AKTOR ATHENS</v>
          </cell>
          <cell r="G156" t="str">
            <v>EA7 EMPORIO ARMANI MILAN</v>
          </cell>
          <cell r="H156" t="str">
            <v>Norm</v>
          </cell>
        </row>
        <row r="157">
          <cell r="A157">
            <v>155</v>
          </cell>
          <cell r="B157" t="str">
            <v>16</v>
          </cell>
          <cell r="C157">
            <v>45643</v>
          </cell>
          <cell r="D157">
            <v>0.85416666666666663</v>
          </cell>
          <cell r="E157">
            <v>0.8125</v>
          </cell>
          <cell r="F157" t="str">
            <v>FC BARCELONA</v>
          </cell>
          <cell r="G157" t="str">
            <v>FENERBAHCE BEKO ISTANBUL</v>
          </cell>
          <cell r="H157" t="str">
            <v>GOW</v>
          </cell>
        </row>
        <row r="158">
          <cell r="A158">
            <v>156</v>
          </cell>
          <cell r="B158" t="str">
            <v>16</v>
          </cell>
          <cell r="C158">
            <v>45643</v>
          </cell>
          <cell r="D158">
            <v>0.85416666666666663</v>
          </cell>
          <cell r="E158">
            <v>0.8125</v>
          </cell>
          <cell r="F158" t="str">
            <v>PARIS BASKETBALL</v>
          </cell>
          <cell r="G158" t="str">
            <v>REAL MADRID</v>
          </cell>
          <cell r="H158" t="str">
            <v>Norm</v>
          </cell>
        </row>
        <row r="159">
          <cell r="A159">
            <v>157</v>
          </cell>
          <cell r="B159" t="str">
            <v>16</v>
          </cell>
          <cell r="C159">
            <v>45643</v>
          </cell>
          <cell r="D159">
            <v>0.86458333333333337</v>
          </cell>
          <cell r="E159">
            <v>0.82291666666666663</v>
          </cell>
          <cell r="F159" t="str">
            <v>ALBA BERLIN</v>
          </cell>
          <cell r="G159" t="str">
            <v>ZALGIRIS KAUNAS</v>
          </cell>
          <cell r="H159" t="str">
            <v>Norm</v>
          </cell>
        </row>
        <row r="160">
          <cell r="A160">
            <v>158</v>
          </cell>
          <cell r="B160" t="str">
            <v>16</v>
          </cell>
          <cell r="C160">
            <v>45643</v>
          </cell>
          <cell r="D160">
            <v>0.86458333333333337</v>
          </cell>
          <cell r="E160">
            <v>0.82291666666666663</v>
          </cell>
          <cell r="F160" t="str">
            <v>PARTIZAN MOZZART BET BELGRADE</v>
          </cell>
          <cell r="G160" t="str">
            <v>LDLC ASVEL VILLEURBANNE</v>
          </cell>
          <cell r="H160" t="str">
            <v>Norm</v>
          </cell>
        </row>
        <row r="161">
          <cell r="A161">
            <v>159</v>
          </cell>
          <cell r="B161" t="str">
            <v>16</v>
          </cell>
          <cell r="C161">
            <v>45644</v>
          </cell>
          <cell r="D161">
            <v>0.85416666666666663</v>
          </cell>
          <cell r="E161">
            <v>0.72916666666666663</v>
          </cell>
          <cell r="F161" t="str">
            <v>ANADOLU EFES ISTANBUL</v>
          </cell>
          <cell r="G161" t="str">
            <v>CRVENA ZVEZDA MERIDIANBET BELGRADE</v>
          </cell>
          <cell r="H161" t="str">
            <v>Pre+Norm+Post</v>
          </cell>
        </row>
        <row r="162">
          <cell r="A162">
            <v>160</v>
          </cell>
          <cell r="B162" t="str">
            <v>16</v>
          </cell>
          <cell r="C162">
            <v>45644</v>
          </cell>
          <cell r="D162">
            <v>0.88541666666666663</v>
          </cell>
          <cell r="E162">
            <v>0.80208333333333337</v>
          </cell>
          <cell r="F162" t="str">
            <v>OLYMPIACOS PIRAEUS</v>
          </cell>
          <cell r="G162" t="str">
            <v>VIRTUS SEGAFREDO BOLOGNA</v>
          </cell>
          <cell r="H162" t="str">
            <v>Norm</v>
          </cell>
        </row>
        <row r="163">
          <cell r="A163">
            <v>161</v>
          </cell>
          <cell r="B163" t="str">
            <v>-</v>
          </cell>
          <cell r="C163" t="str">
            <v>-</v>
          </cell>
          <cell r="D163" t="str">
            <v>-</v>
          </cell>
          <cell r="E163" t="str">
            <v>-</v>
          </cell>
          <cell r="F163" t="str">
            <v>-</v>
          </cell>
          <cell r="G163" t="str">
            <v>-</v>
          </cell>
          <cell r="H163" t="str">
            <v>Norm</v>
          </cell>
        </row>
        <row r="164">
          <cell r="A164">
            <v>162</v>
          </cell>
          <cell r="B164" t="str">
            <v>17</v>
          </cell>
          <cell r="C164">
            <v>45645</v>
          </cell>
          <cell r="D164">
            <v>0.82291666666666663</v>
          </cell>
          <cell r="E164">
            <v>0.73958333333333337</v>
          </cell>
          <cell r="F164" t="str">
            <v>PANATHINAIKOS AKTOR ATHENS</v>
          </cell>
          <cell r="G164" t="str">
            <v>BASKONIA VITORIA-GASTEIZ</v>
          </cell>
          <cell r="H164" t="str">
            <v>Norm</v>
          </cell>
        </row>
        <row r="165">
          <cell r="A165">
            <v>163</v>
          </cell>
          <cell r="B165" t="str">
            <v>17</v>
          </cell>
          <cell r="C165" t="str">
            <v>SUSPENDED</v>
          </cell>
          <cell r="D165" t="str">
            <v>00:00</v>
          </cell>
          <cell r="E165" t="str">
            <v>00:00</v>
          </cell>
          <cell r="F165" t="str">
            <v>PARIS BASKETBALL</v>
          </cell>
          <cell r="G165" t="str">
            <v>FENERBAHCE BEKO ISTANBUL</v>
          </cell>
          <cell r="H165" t="str">
            <v>Norm</v>
          </cell>
        </row>
        <row r="166">
          <cell r="A166">
            <v>164</v>
          </cell>
          <cell r="B166" t="str">
            <v>17</v>
          </cell>
          <cell r="C166">
            <v>45645</v>
          </cell>
          <cell r="D166">
            <v>0.86458333333333337</v>
          </cell>
          <cell r="E166">
            <v>0.82291666666666663</v>
          </cell>
          <cell r="F166" t="str">
            <v>REAL MADRID</v>
          </cell>
          <cell r="G166" t="str">
            <v>AS MONACO</v>
          </cell>
          <cell r="H166" t="str">
            <v>GOW</v>
          </cell>
        </row>
        <row r="167">
          <cell r="A167">
            <v>165</v>
          </cell>
          <cell r="B167" t="str">
            <v>17</v>
          </cell>
          <cell r="C167">
            <v>45646</v>
          </cell>
          <cell r="D167">
            <v>0.85416666666666663</v>
          </cell>
          <cell r="E167">
            <v>0.72916666666666663</v>
          </cell>
          <cell r="F167" t="str">
            <v>ANADOLU EFES ISTANBUL</v>
          </cell>
          <cell r="G167" t="str">
            <v>PARTIZAN MOZZART BET BELGRADE</v>
          </cell>
          <cell r="H167" t="str">
            <v>Pre+Norm+Post</v>
          </cell>
        </row>
        <row r="168">
          <cell r="A168">
            <v>166</v>
          </cell>
          <cell r="B168" t="str">
            <v>17</v>
          </cell>
          <cell r="C168">
            <v>45646</v>
          </cell>
          <cell r="D168">
            <v>0.83333333333333337</v>
          </cell>
          <cell r="E168">
            <v>0.75</v>
          </cell>
          <cell r="F168" t="str">
            <v>ZALGIRIS KAUNAS</v>
          </cell>
          <cell r="G168" t="str">
            <v>LDLC ASVEL VILLEURBANNE</v>
          </cell>
          <cell r="H168" t="str">
            <v>Norm</v>
          </cell>
        </row>
        <row r="169">
          <cell r="A169">
            <v>167</v>
          </cell>
          <cell r="B169" t="str">
            <v>17</v>
          </cell>
          <cell r="C169">
            <v>45646</v>
          </cell>
          <cell r="D169">
            <v>0.83333333333333337</v>
          </cell>
          <cell r="E169">
            <v>0.79166666666666663</v>
          </cell>
          <cell r="F169" t="str">
            <v>VIRTUS SEGAFREDO BOLOGNA</v>
          </cell>
          <cell r="G169" t="str">
            <v>FC BARCELONA</v>
          </cell>
          <cell r="H169" t="str">
            <v>Norm</v>
          </cell>
        </row>
        <row r="170">
          <cell r="A170">
            <v>168</v>
          </cell>
          <cell r="B170" t="str">
            <v>17</v>
          </cell>
          <cell r="C170">
            <v>45646</v>
          </cell>
          <cell r="D170">
            <v>0.85416666666666663</v>
          </cell>
          <cell r="E170">
            <v>0.8125</v>
          </cell>
          <cell r="F170" t="str">
            <v>CRVENA ZVEZDA MERIDIANBET BELGRADE</v>
          </cell>
          <cell r="G170" t="str">
            <v>MACCABI PLAYTIKA TEL AVIV</v>
          </cell>
          <cell r="H170" t="str">
            <v>Norm</v>
          </cell>
        </row>
        <row r="171">
          <cell r="A171">
            <v>169</v>
          </cell>
          <cell r="B171" t="str">
            <v>17</v>
          </cell>
          <cell r="C171">
            <v>45646</v>
          </cell>
          <cell r="D171">
            <v>0.88541666666666663</v>
          </cell>
          <cell r="E171">
            <v>0.80208333333333337</v>
          </cell>
          <cell r="F171" t="str">
            <v>OLYMPIACOS PIRAEUS</v>
          </cell>
          <cell r="G171" t="str">
            <v>ALBA BERLIN</v>
          </cell>
          <cell r="H171" t="str">
            <v>Norm</v>
          </cell>
        </row>
        <row r="172">
          <cell r="A172">
            <v>170</v>
          </cell>
          <cell r="B172" t="str">
            <v>17</v>
          </cell>
          <cell r="C172">
            <v>45646</v>
          </cell>
          <cell r="D172">
            <v>0.875</v>
          </cell>
          <cell r="E172">
            <v>0.83333333333333337</v>
          </cell>
          <cell r="F172" t="str">
            <v>EA7 EMPORIO ARMANI MILAN</v>
          </cell>
          <cell r="G172" t="str">
            <v>FC BAYERN MUNICH</v>
          </cell>
          <cell r="H172" t="str">
            <v>Norm</v>
          </cell>
        </row>
        <row r="173">
          <cell r="A173">
            <v>171</v>
          </cell>
          <cell r="B173" t="str">
            <v>-</v>
          </cell>
          <cell r="C173" t="str">
            <v>-</v>
          </cell>
          <cell r="D173" t="str">
            <v>-</v>
          </cell>
          <cell r="E173" t="str">
            <v>-</v>
          </cell>
          <cell r="F173" t="str">
            <v>-</v>
          </cell>
          <cell r="G173" t="str">
            <v>-</v>
          </cell>
          <cell r="H173" t="str">
            <v>Norm</v>
          </cell>
        </row>
        <row r="174">
          <cell r="A174">
            <v>172</v>
          </cell>
          <cell r="B174" t="str">
            <v>18</v>
          </cell>
          <cell r="C174">
            <v>45652</v>
          </cell>
          <cell r="D174">
            <v>0.79166666666666663</v>
          </cell>
          <cell r="E174">
            <v>0.75</v>
          </cell>
          <cell r="F174" t="str">
            <v>AS MONACO</v>
          </cell>
          <cell r="G174" t="str">
            <v>ANADOLU EFES ISTANBUL</v>
          </cell>
          <cell r="H174" t="str">
            <v>Norm</v>
          </cell>
        </row>
        <row r="175">
          <cell r="A175">
            <v>173</v>
          </cell>
          <cell r="B175" t="str">
            <v>18</v>
          </cell>
          <cell r="C175">
            <v>45652</v>
          </cell>
          <cell r="D175">
            <v>0.79166666666666663</v>
          </cell>
          <cell r="E175">
            <v>0.75</v>
          </cell>
          <cell r="F175" t="str">
            <v>ALBA BERLIN</v>
          </cell>
          <cell r="G175" t="str">
            <v>REAL MADRID</v>
          </cell>
          <cell r="H175" t="str">
            <v>Norm</v>
          </cell>
        </row>
        <row r="176">
          <cell r="A176">
            <v>174</v>
          </cell>
          <cell r="B176" t="str">
            <v>18</v>
          </cell>
          <cell r="C176">
            <v>45652</v>
          </cell>
          <cell r="D176">
            <v>0.83680555555555558</v>
          </cell>
          <cell r="E176">
            <v>0.79513888888888884</v>
          </cell>
          <cell r="F176" t="str">
            <v>MACCABI PLAYTIKA TEL AVIV</v>
          </cell>
          <cell r="G176" t="str">
            <v>ZALGIRIS KAUNAS</v>
          </cell>
          <cell r="H176" t="str">
            <v>Norm</v>
          </cell>
        </row>
        <row r="177">
          <cell r="A177">
            <v>175</v>
          </cell>
          <cell r="B177" t="str">
            <v>18</v>
          </cell>
          <cell r="C177">
            <v>45652</v>
          </cell>
          <cell r="D177">
            <v>0.85416666666666663</v>
          </cell>
          <cell r="E177">
            <v>0.8125</v>
          </cell>
          <cell r="F177" t="str">
            <v>EA7 EMPORIO ARMANI MILAN</v>
          </cell>
          <cell r="G177" t="str">
            <v>OLYMPIACOS PIRAEUS</v>
          </cell>
          <cell r="H177" t="str">
            <v>Norm+Post</v>
          </cell>
        </row>
        <row r="178">
          <cell r="A178">
            <v>176</v>
          </cell>
          <cell r="B178" t="str">
            <v>18</v>
          </cell>
          <cell r="C178">
            <v>45653</v>
          </cell>
          <cell r="D178">
            <v>0.85416666666666663</v>
          </cell>
          <cell r="E178">
            <v>0.8125</v>
          </cell>
          <cell r="F178" t="str">
            <v>FC BARCELONA</v>
          </cell>
          <cell r="G178" t="str">
            <v>CRVENA ZVEZDA MERIDIANBET BELGRADE</v>
          </cell>
          <cell r="H178" t="str">
            <v>Pre+Norm+Post</v>
          </cell>
        </row>
        <row r="179">
          <cell r="A179">
            <v>177</v>
          </cell>
          <cell r="B179" t="str">
            <v>18</v>
          </cell>
          <cell r="C179">
            <v>45653</v>
          </cell>
          <cell r="D179">
            <v>0.85416666666666663</v>
          </cell>
          <cell r="E179">
            <v>0.8125</v>
          </cell>
          <cell r="F179" t="str">
            <v>PARTIZAN MOZZART BET BELGRADE</v>
          </cell>
          <cell r="G179" t="str">
            <v>FENERBAHCE BEKO ISTANBUL</v>
          </cell>
          <cell r="H179" t="str">
            <v>Norm</v>
          </cell>
        </row>
        <row r="180">
          <cell r="A180">
            <v>178</v>
          </cell>
          <cell r="B180" t="str">
            <v>18</v>
          </cell>
          <cell r="C180">
            <v>45653</v>
          </cell>
          <cell r="D180">
            <v>0.85416666666666663</v>
          </cell>
          <cell r="E180">
            <v>0.8125</v>
          </cell>
          <cell r="F180" t="str">
            <v>BASKONIA VITORIA-GASTEIZ</v>
          </cell>
          <cell r="G180" t="str">
            <v>PARIS BASKETBALL</v>
          </cell>
          <cell r="H180" t="str">
            <v>GOW</v>
          </cell>
        </row>
        <row r="181">
          <cell r="A181">
            <v>179</v>
          </cell>
          <cell r="B181" t="str">
            <v>18</v>
          </cell>
          <cell r="C181">
            <v>45653</v>
          </cell>
          <cell r="D181">
            <v>0.85416666666666663</v>
          </cell>
          <cell r="E181">
            <v>0.8125</v>
          </cell>
          <cell r="F181" t="str">
            <v>FC BAYERN MUNICH</v>
          </cell>
          <cell r="G181" t="str">
            <v>PANATHINAIKOS AKTOR ATHENS</v>
          </cell>
          <cell r="H181" t="str">
            <v>Norm+Post</v>
          </cell>
        </row>
        <row r="182">
          <cell r="A182">
            <v>180</v>
          </cell>
          <cell r="B182" t="str">
            <v>18</v>
          </cell>
          <cell r="C182">
            <v>45653</v>
          </cell>
          <cell r="D182">
            <v>0.85416666666666663</v>
          </cell>
          <cell r="E182">
            <v>0.8125</v>
          </cell>
          <cell r="F182" t="str">
            <v>VIRTUS SEGAFREDO BOLOGNA</v>
          </cell>
          <cell r="G182" t="str">
            <v>LDLC ASVEL VILLEURBANNE</v>
          </cell>
          <cell r="H182" t="str">
            <v>Norm</v>
          </cell>
        </row>
        <row r="183">
          <cell r="A183">
            <v>181</v>
          </cell>
          <cell r="B183" t="str">
            <v>-</v>
          </cell>
          <cell r="C183" t="str">
            <v>-</v>
          </cell>
          <cell r="D183" t="str">
            <v>-</v>
          </cell>
          <cell r="E183" t="str">
            <v>-</v>
          </cell>
          <cell r="F183" t="str">
            <v>-</v>
          </cell>
          <cell r="G183" t="str">
            <v>-</v>
          </cell>
          <cell r="H183" t="str">
            <v>Norm</v>
          </cell>
        </row>
        <row r="184">
          <cell r="A184">
            <v>182</v>
          </cell>
          <cell r="B184" t="str">
            <v>19</v>
          </cell>
          <cell r="C184">
            <v>45659</v>
          </cell>
          <cell r="D184">
            <v>0.83333333333333337</v>
          </cell>
          <cell r="E184">
            <v>0.75</v>
          </cell>
          <cell r="F184" t="str">
            <v>ZALGIRIS KAUNAS</v>
          </cell>
          <cell r="G184" t="str">
            <v>OLYMPIACOS PIRAEUS</v>
          </cell>
          <cell r="H184" t="str">
            <v>Norm+Post</v>
          </cell>
        </row>
        <row r="185">
          <cell r="A185">
            <v>183</v>
          </cell>
          <cell r="B185" t="str">
            <v>19</v>
          </cell>
          <cell r="C185">
            <v>45659</v>
          </cell>
          <cell r="D185">
            <v>0.83333333333333337</v>
          </cell>
          <cell r="E185">
            <v>0.79166666666666663</v>
          </cell>
          <cell r="F185" t="str">
            <v>ALBA BERLIN</v>
          </cell>
          <cell r="G185" t="str">
            <v>AS MONACO</v>
          </cell>
          <cell r="H185" t="str">
            <v>Norm</v>
          </cell>
        </row>
        <row r="186">
          <cell r="A186">
            <v>184</v>
          </cell>
          <cell r="B186" t="str">
            <v>19</v>
          </cell>
          <cell r="C186">
            <v>45659</v>
          </cell>
          <cell r="D186">
            <v>0.83333333333333337</v>
          </cell>
          <cell r="E186">
            <v>0.79166666666666663</v>
          </cell>
          <cell r="F186" t="str">
            <v>LDLC ASVEL VILLEURBANNE</v>
          </cell>
          <cell r="G186" t="str">
            <v>EA7 EMPORIO ARMANI MILAN</v>
          </cell>
          <cell r="H186" t="str">
            <v>Norm</v>
          </cell>
        </row>
        <row r="187">
          <cell r="A187">
            <v>185</v>
          </cell>
          <cell r="B187" t="str">
            <v>19</v>
          </cell>
          <cell r="C187">
            <v>45659</v>
          </cell>
          <cell r="D187">
            <v>0.85416666666666663</v>
          </cell>
          <cell r="E187">
            <v>0.8125</v>
          </cell>
          <cell r="F187" t="str">
            <v>BASKONIA VITORIA-GASTEIZ</v>
          </cell>
          <cell r="G187" t="str">
            <v>CRVENA ZVEZDA MERIDIANBET BELGRADE</v>
          </cell>
          <cell r="H187" t="str">
            <v>Pre+Norm+Post</v>
          </cell>
        </row>
        <row r="188">
          <cell r="A188">
            <v>186</v>
          </cell>
          <cell r="B188" t="str">
            <v>19</v>
          </cell>
          <cell r="C188">
            <v>45660</v>
          </cell>
          <cell r="D188">
            <v>0.86458333333333337</v>
          </cell>
          <cell r="E188">
            <v>0.73958333333333337</v>
          </cell>
          <cell r="F188" t="str">
            <v>FENERBAHCE BEKO ISTANBUL</v>
          </cell>
          <cell r="G188" t="str">
            <v>ANADOLU EFES ISTANBUL</v>
          </cell>
          <cell r="H188" t="str">
            <v>Pre+GOW</v>
          </cell>
        </row>
        <row r="189">
          <cell r="A189">
            <v>187</v>
          </cell>
          <cell r="B189" t="str">
            <v>19</v>
          </cell>
          <cell r="C189">
            <v>45660</v>
          </cell>
          <cell r="D189">
            <v>0.88541666666666663</v>
          </cell>
          <cell r="E189">
            <v>0.80208333333333337</v>
          </cell>
          <cell r="F189" t="str">
            <v>PANATHINAIKOS AKTOR ATHENS</v>
          </cell>
          <cell r="G189" t="str">
            <v>VIRTUS SEGAFREDO BOLOGNA</v>
          </cell>
          <cell r="H189" t="str">
            <v>Norm</v>
          </cell>
        </row>
        <row r="190">
          <cell r="A190">
            <v>188</v>
          </cell>
          <cell r="B190" t="str">
            <v>19</v>
          </cell>
          <cell r="C190">
            <v>45660</v>
          </cell>
          <cell r="D190">
            <v>0.84375</v>
          </cell>
          <cell r="E190">
            <v>0.80208333333333337</v>
          </cell>
          <cell r="F190" t="str">
            <v>PARIS BASKETBALL</v>
          </cell>
          <cell r="G190" t="str">
            <v>FC BARCELONA</v>
          </cell>
          <cell r="H190" t="str">
            <v>Norm</v>
          </cell>
        </row>
        <row r="191">
          <cell r="A191">
            <v>189</v>
          </cell>
          <cell r="B191" t="str">
            <v>19</v>
          </cell>
          <cell r="C191">
            <v>45660</v>
          </cell>
          <cell r="D191">
            <v>0.85416666666666663</v>
          </cell>
          <cell r="E191">
            <v>0.8125</v>
          </cell>
          <cell r="F191" t="str">
            <v>PARTIZAN MOZZART BET BELGRADE</v>
          </cell>
          <cell r="G191" t="str">
            <v>MACCABI PLAYTIKA TEL AVIV</v>
          </cell>
          <cell r="H191" t="str">
            <v>Norm</v>
          </cell>
        </row>
        <row r="192">
          <cell r="A192">
            <v>190</v>
          </cell>
          <cell r="B192" t="str">
            <v>19</v>
          </cell>
          <cell r="C192">
            <v>45660</v>
          </cell>
          <cell r="D192">
            <v>0.875</v>
          </cell>
          <cell r="E192">
            <v>0.83333333333333337</v>
          </cell>
          <cell r="F192" t="str">
            <v>REAL MADRID</v>
          </cell>
          <cell r="G192" t="str">
            <v>FC BAYERN MUNICH</v>
          </cell>
          <cell r="H192" t="str">
            <v>Norm</v>
          </cell>
        </row>
        <row r="193">
          <cell r="A193">
            <v>191</v>
          </cell>
          <cell r="B193" t="str">
            <v>-</v>
          </cell>
          <cell r="C193" t="str">
            <v>-</v>
          </cell>
          <cell r="D193" t="str">
            <v>-</v>
          </cell>
          <cell r="E193" t="str">
            <v>-</v>
          </cell>
          <cell r="F193" t="str">
            <v>-</v>
          </cell>
          <cell r="G193" t="str">
            <v>-</v>
          </cell>
          <cell r="H193" t="str">
            <v>Norm</v>
          </cell>
        </row>
        <row r="194">
          <cell r="A194">
            <v>192</v>
          </cell>
          <cell r="B194" t="str">
            <v>20</v>
          </cell>
          <cell r="C194">
            <v>45666</v>
          </cell>
          <cell r="D194">
            <v>0.86458333333333337</v>
          </cell>
          <cell r="E194">
            <v>0.73958333333333337</v>
          </cell>
          <cell r="F194" t="str">
            <v>FENERBAHCE BEKO ISTANBUL</v>
          </cell>
          <cell r="G194" t="str">
            <v>ALBA BERLIN</v>
          </cell>
          <cell r="H194" t="str">
            <v>Norm</v>
          </cell>
        </row>
        <row r="195">
          <cell r="A195">
            <v>193</v>
          </cell>
          <cell r="B195" t="str">
            <v>20</v>
          </cell>
          <cell r="C195">
            <v>45666</v>
          </cell>
          <cell r="D195">
            <v>0.79166666666666663</v>
          </cell>
          <cell r="E195">
            <v>0.75</v>
          </cell>
          <cell r="F195" t="str">
            <v>AS MONACO</v>
          </cell>
          <cell r="G195" t="str">
            <v>FC BARCELONA</v>
          </cell>
          <cell r="H195" t="str">
            <v>Norm</v>
          </cell>
        </row>
        <row r="196">
          <cell r="A196">
            <v>194</v>
          </cell>
          <cell r="B196" t="str">
            <v>20</v>
          </cell>
          <cell r="C196">
            <v>45666</v>
          </cell>
          <cell r="D196">
            <v>0.83680555555555558</v>
          </cell>
          <cell r="E196">
            <v>0.79513888888888884</v>
          </cell>
          <cell r="F196" t="str">
            <v>MACCABI PLAYTIKA TEL AVIV</v>
          </cell>
          <cell r="G196" t="str">
            <v>EA7 EMPORIO ARMANI MILAN</v>
          </cell>
          <cell r="H196" t="str">
            <v>Norm</v>
          </cell>
        </row>
        <row r="197">
          <cell r="A197">
            <v>195</v>
          </cell>
          <cell r="B197" t="str">
            <v>20</v>
          </cell>
          <cell r="C197">
            <v>45666</v>
          </cell>
          <cell r="D197">
            <v>0.88541666666666663</v>
          </cell>
          <cell r="E197">
            <v>0.80208333333333337</v>
          </cell>
          <cell r="F197" t="str">
            <v>PANATHINAIKOS AKTOR ATHENS</v>
          </cell>
          <cell r="G197" t="str">
            <v>PARTIZAN MOZZART BET BELGRADE</v>
          </cell>
          <cell r="H197" t="str">
            <v>Pre+Norm+Post</v>
          </cell>
        </row>
        <row r="198">
          <cell r="A198">
            <v>196</v>
          </cell>
          <cell r="B198" t="str">
            <v>20</v>
          </cell>
          <cell r="C198">
            <v>45667</v>
          </cell>
          <cell r="D198">
            <v>0.85416666666666663</v>
          </cell>
          <cell r="E198">
            <v>0.72916666666666663</v>
          </cell>
          <cell r="F198" t="str">
            <v>ANADOLU EFES ISTANBUL</v>
          </cell>
          <cell r="G198" t="str">
            <v>LDLC ASVEL VILLEURBANNE</v>
          </cell>
          <cell r="H198" t="str">
            <v>Norm</v>
          </cell>
        </row>
        <row r="199">
          <cell r="A199">
            <v>197</v>
          </cell>
          <cell r="B199" t="str">
            <v>20</v>
          </cell>
          <cell r="C199">
            <v>45667</v>
          </cell>
          <cell r="D199">
            <v>0.83333333333333337</v>
          </cell>
          <cell r="E199">
            <v>0.75</v>
          </cell>
          <cell r="F199" t="str">
            <v>ZALGIRIS KAUNAS</v>
          </cell>
          <cell r="G199" t="str">
            <v>REAL MADRID</v>
          </cell>
          <cell r="H199" t="str">
            <v>GOW</v>
          </cell>
        </row>
        <row r="200">
          <cell r="A200">
            <v>198</v>
          </cell>
          <cell r="B200" t="str">
            <v>20</v>
          </cell>
          <cell r="C200">
            <v>45667</v>
          </cell>
          <cell r="D200">
            <v>0.83333333333333337</v>
          </cell>
          <cell r="E200">
            <v>0.79166666666666663</v>
          </cell>
          <cell r="F200" t="str">
            <v>CRVENA ZVEZDA MERIDIANBET BELGRADE</v>
          </cell>
          <cell r="G200" t="str">
            <v>PARIS BASKETBALL</v>
          </cell>
          <cell r="H200" t="str">
            <v>Norm</v>
          </cell>
        </row>
        <row r="201">
          <cell r="A201">
            <v>199</v>
          </cell>
          <cell r="B201" t="str">
            <v>20</v>
          </cell>
          <cell r="C201">
            <v>45667</v>
          </cell>
          <cell r="D201">
            <v>0.88541666666666663</v>
          </cell>
          <cell r="E201">
            <v>0.80208333333333337</v>
          </cell>
          <cell r="F201" t="str">
            <v>OLYMPIACOS PIRAEUS</v>
          </cell>
          <cell r="G201" t="str">
            <v>FC BAYERN MUNICH</v>
          </cell>
          <cell r="H201" t="str">
            <v>Norm</v>
          </cell>
        </row>
        <row r="202">
          <cell r="A202">
            <v>200</v>
          </cell>
          <cell r="B202" t="str">
            <v>20</v>
          </cell>
          <cell r="C202">
            <v>45667</v>
          </cell>
          <cell r="D202">
            <v>0.86458333333333337</v>
          </cell>
          <cell r="E202">
            <v>0.82291666666666663</v>
          </cell>
          <cell r="F202" t="str">
            <v>VIRTUS SEGAFREDO BOLOGNA</v>
          </cell>
          <cell r="G202" t="str">
            <v>BASKONIA VITORIA-GASTEIZ</v>
          </cell>
          <cell r="H202" t="str">
            <v>Norm</v>
          </cell>
        </row>
        <row r="203">
          <cell r="A203">
            <v>201</v>
          </cell>
          <cell r="B203" t="str">
            <v>-</v>
          </cell>
          <cell r="C203" t="str">
            <v>-</v>
          </cell>
          <cell r="D203" t="str">
            <v>-</v>
          </cell>
          <cell r="E203" t="str">
            <v>-</v>
          </cell>
          <cell r="F203" t="str">
            <v>-</v>
          </cell>
          <cell r="G203" t="str">
            <v>-</v>
          </cell>
          <cell r="H203" t="str">
            <v>Norm</v>
          </cell>
        </row>
        <row r="204">
          <cell r="A204">
            <v>202</v>
          </cell>
          <cell r="B204" t="str">
            <v>21</v>
          </cell>
          <cell r="C204">
            <v>45671</v>
          </cell>
          <cell r="D204">
            <v>0.83333333333333337</v>
          </cell>
          <cell r="E204">
            <v>0.79166666666666663</v>
          </cell>
          <cell r="F204" t="str">
            <v>LDLC ASVEL VILLEURBANNE</v>
          </cell>
          <cell r="G204" t="str">
            <v>PARTIZAN MOZZART BET BELGRADE</v>
          </cell>
          <cell r="H204" t="str">
            <v>Pre+Norm+Post</v>
          </cell>
        </row>
        <row r="205">
          <cell r="A205">
            <v>203</v>
          </cell>
          <cell r="B205" t="str">
            <v>21</v>
          </cell>
          <cell r="C205">
            <v>45671</v>
          </cell>
          <cell r="D205">
            <v>0.85416666666666663</v>
          </cell>
          <cell r="E205">
            <v>0.8125</v>
          </cell>
          <cell r="F205" t="str">
            <v>BASKONIA VITORIA-GASTEIZ</v>
          </cell>
          <cell r="G205" t="str">
            <v>OLYMPIACOS PIRAEUS</v>
          </cell>
          <cell r="H205" t="str">
            <v>Norm+Post</v>
          </cell>
        </row>
        <row r="206">
          <cell r="A206">
            <v>204</v>
          </cell>
          <cell r="B206" t="str">
            <v>21</v>
          </cell>
          <cell r="C206">
            <v>45671</v>
          </cell>
          <cell r="D206">
            <v>0.85416666666666663</v>
          </cell>
          <cell r="E206">
            <v>0.8125</v>
          </cell>
          <cell r="F206" t="str">
            <v>EA7 EMPORIO ARMANI MILAN</v>
          </cell>
          <cell r="G206" t="str">
            <v>ALBA BERLIN</v>
          </cell>
          <cell r="H206" t="str">
            <v>Norm</v>
          </cell>
        </row>
        <row r="207">
          <cell r="A207">
            <v>205</v>
          </cell>
          <cell r="B207" t="str">
            <v>21</v>
          </cell>
          <cell r="C207">
            <v>45671</v>
          </cell>
          <cell r="D207">
            <v>0.85416666666666663</v>
          </cell>
          <cell r="E207">
            <v>0.8125</v>
          </cell>
          <cell r="F207" t="str">
            <v>PARIS BASKETBALL</v>
          </cell>
          <cell r="G207" t="str">
            <v>ANADOLU EFES ISTANBUL</v>
          </cell>
          <cell r="H207" t="str">
            <v>Norm</v>
          </cell>
        </row>
        <row r="208">
          <cell r="A208">
            <v>206</v>
          </cell>
          <cell r="B208" t="str">
            <v>21</v>
          </cell>
          <cell r="C208">
            <v>45671</v>
          </cell>
          <cell r="D208">
            <v>0.86458333333333337</v>
          </cell>
          <cell r="E208">
            <v>0.82291666666666663</v>
          </cell>
          <cell r="F208" t="str">
            <v>REAL MADRID</v>
          </cell>
          <cell r="G208" t="str">
            <v>MACCABI PLAYTIKA TEL AVIV</v>
          </cell>
          <cell r="H208" t="str">
            <v>Norm</v>
          </cell>
        </row>
        <row r="209">
          <cell r="A209">
            <v>207</v>
          </cell>
          <cell r="B209" t="str">
            <v>21</v>
          </cell>
          <cell r="C209">
            <v>45672</v>
          </cell>
          <cell r="D209">
            <v>0.83333333333333337</v>
          </cell>
          <cell r="E209">
            <v>0.75</v>
          </cell>
          <cell r="F209" t="str">
            <v>ZALGIRIS KAUNAS</v>
          </cell>
          <cell r="G209" t="str">
            <v>VIRTUS SEGAFREDO BOLOGNA</v>
          </cell>
          <cell r="H209" t="str">
            <v>Norm</v>
          </cell>
        </row>
        <row r="210">
          <cell r="A210">
            <v>208</v>
          </cell>
          <cell r="B210" t="str">
            <v>21</v>
          </cell>
          <cell r="C210">
            <v>45672</v>
          </cell>
          <cell r="D210">
            <v>0.83333333333333337</v>
          </cell>
          <cell r="E210">
            <v>0.79166666666666663</v>
          </cell>
          <cell r="F210" t="str">
            <v>CRVENA ZVEZDA MERIDIANBET BELGRADE</v>
          </cell>
          <cell r="G210" t="str">
            <v>FENERBAHCE BEKO ISTANBUL</v>
          </cell>
          <cell r="H210" t="str">
            <v>Norm</v>
          </cell>
        </row>
        <row r="211">
          <cell r="A211">
            <v>209</v>
          </cell>
          <cell r="B211" t="str">
            <v>21</v>
          </cell>
          <cell r="C211">
            <v>45672</v>
          </cell>
          <cell r="D211">
            <v>0.85416666666666663</v>
          </cell>
          <cell r="E211">
            <v>0.8125</v>
          </cell>
          <cell r="F211" t="str">
            <v>FC BARCELONA</v>
          </cell>
          <cell r="G211" t="str">
            <v>PANATHINAIKOS AKTOR ATHENS</v>
          </cell>
          <cell r="H211" t="str">
            <v>GOW+Post</v>
          </cell>
        </row>
        <row r="212">
          <cell r="A212">
            <v>210</v>
          </cell>
          <cell r="B212" t="str">
            <v>21</v>
          </cell>
          <cell r="C212">
            <v>45672</v>
          </cell>
          <cell r="D212">
            <v>0.85416666666666663</v>
          </cell>
          <cell r="E212">
            <v>0.8125</v>
          </cell>
          <cell r="F212" t="str">
            <v>FC BAYERN MUNICH</v>
          </cell>
          <cell r="G212" t="str">
            <v>AS MONACO</v>
          </cell>
          <cell r="H212" t="str">
            <v>Norm</v>
          </cell>
        </row>
        <row r="213">
          <cell r="A213">
            <v>211</v>
          </cell>
          <cell r="B213" t="str">
            <v>-</v>
          </cell>
          <cell r="C213" t="str">
            <v>-</v>
          </cell>
          <cell r="D213" t="str">
            <v>-</v>
          </cell>
          <cell r="E213" t="str">
            <v>-</v>
          </cell>
          <cell r="F213" t="str">
            <v>-</v>
          </cell>
          <cell r="G213" t="str">
            <v>-</v>
          </cell>
          <cell r="H213" t="str">
            <v>Norm</v>
          </cell>
        </row>
        <row r="214">
          <cell r="A214">
            <v>212</v>
          </cell>
          <cell r="B214" t="str">
            <v>22</v>
          </cell>
          <cell r="C214">
            <v>45673</v>
          </cell>
          <cell r="D214">
            <v>0.83333333333333337</v>
          </cell>
          <cell r="E214">
            <v>0.79166666666666663</v>
          </cell>
          <cell r="F214" t="str">
            <v>LDLC ASVEL VILLEURBANNE</v>
          </cell>
          <cell r="G214" t="str">
            <v>ALBA BERLIN</v>
          </cell>
          <cell r="H214" t="str">
            <v>Norm</v>
          </cell>
        </row>
        <row r="215">
          <cell r="A215">
            <v>213</v>
          </cell>
          <cell r="B215" t="str">
            <v>22</v>
          </cell>
          <cell r="C215">
            <v>45673</v>
          </cell>
          <cell r="D215">
            <v>0.85416666666666663</v>
          </cell>
          <cell r="E215">
            <v>0.8125</v>
          </cell>
          <cell r="F215" t="str">
            <v>EA7 EMPORIO ARMANI MILAN</v>
          </cell>
          <cell r="G215" t="str">
            <v>PARTIZAN MOZZART BET BELGRADE</v>
          </cell>
          <cell r="H215" t="str">
            <v>Pre+Norm+Post</v>
          </cell>
        </row>
        <row r="216">
          <cell r="A216">
            <v>214</v>
          </cell>
          <cell r="B216" t="str">
            <v>22</v>
          </cell>
          <cell r="C216">
            <v>45673</v>
          </cell>
          <cell r="D216">
            <v>0.85416666666666663</v>
          </cell>
          <cell r="E216">
            <v>0.8125</v>
          </cell>
          <cell r="F216" t="str">
            <v>PARIS BASKETBALL</v>
          </cell>
          <cell r="G216" t="str">
            <v>MACCABI PLAYTIKA TEL AVIV</v>
          </cell>
          <cell r="H216" t="str">
            <v>Norm</v>
          </cell>
        </row>
        <row r="217">
          <cell r="A217">
            <v>215</v>
          </cell>
          <cell r="B217" t="str">
            <v>22</v>
          </cell>
          <cell r="C217">
            <v>45673</v>
          </cell>
          <cell r="D217">
            <v>0.86458333333333337</v>
          </cell>
          <cell r="E217">
            <v>0.82291666666666663</v>
          </cell>
          <cell r="F217" t="str">
            <v>REAL MADRID</v>
          </cell>
          <cell r="G217" t="str">
            <v>OLYMPIACOS PIRAEUS</v>
          </cell>
          <cell r="H217" t="str">
            <v>GOW+Post</v>
          </cell>
        </row>
        <row r="218">
          <cell r="A218">
            <v>216</v>
          </cell>
          <cell r="B218" t="str">
            <v>22</v>
          </cell>
          <cell r="C218">
            <v>45674</v>
          </cell>
          <cell r="D218">
            <v>0.86458333333333337</v>
          </cell>
          <cell r="E218">
            <v>0.73958333333333337</v>
          </cell>
          <cell r="F218" t="str">
            <v>FENERBAHCE BEKO ISTANBUL</v>
          </cell>
          <cell r="G218" t="str">
            <v>ZALGIRIS KAUNAS</v>
          </cell>
          <cell r="H218" t="str">
            <v>Norm</v>
          </cell>
        </row>
        <row r="219">
          <cell r="A219">
            <v>217</v>
          </cell>
          <cell r="B219" t="str">
            <v>22</v>
          </cell>
          <cell r="C219">
            <v>45674</v>
          </cell>
          <cell r="D219">
            <v>0.83333333333333337</v>
          </cell>
          <cell r="E219">
            <v>0.79166666666666663</v>
          </cell>
          <cell r="F219" t="str">
            <v>CRVENA ZVEZDA MERIDIANBET BELGRADE</v>
          </cell>
          <cell r="G219" t="str">
            <v>AS MONACO</v>
          </cell>
          <cell r="H219" t="str">
            <v>Norm</v>
          </cell>
        </row>
        <row r="220">
          <cell r="A220">
            <v>218</v>
          </cell>
          <cell r="B220" t="str">
            <v>22</v>
          </cell>
          <cell r="C220">
            <v>45674</v>
          </cell>
          <cell r="D220">
            <v>0.85416666666666663</v>
          </cell>
          <cell r="E220">
            <v>0.8125</v>
          </cell>
          <cell r="F220" t="str">
            <v>BASKONIA VITORIA-GASTEIZ</v>
          </cell>
          <cell r="G220" t="str">
            <v>PANATHINAIKOS AKTOR ATHENS</v>
          </cell>
          <cell r="H220" t="str">
            <v>Norm+Post</v>
          </cell>
        </row>
        <row r="221">
          <cell r="A221">
            <v>219</v>
          </cell>
          <cell r="B221" t="str">
            <v>22</v>
          </cell>
          <cell r="C221">
            <v>45674</v>
          </cell>
          <cell r="D221">
            <v>0.85416666666666663</v>
          </cell>
          <cell r="E221">
            <v>0.8125</v>
          </cell>
          <cell r="F221" t="str">
            <v>FC BAYERN MUNICH</v>
          </cell>
          <cell r="G221" t="str">
            <v>VIRTUS SEGAFREDO BOLOGNA</v>
          </cell>
          <cell r="H221" t="str">
            <v>Norm</v>
          </cell>
        </row>
        <row r="222">
          <cell r="A222">
            <v>220</v>
          </cell>
          <cell r="B222" t="str">
            <v>22</v>
          </cell>
          <cell r="C222">
            <v>45674</v>
          </cell>
          <cell r="D222">
            <v>0.86458333333333337</v>
          </cell>
          <cell r="E222">
            <v>0.82291666666666663</v>
          </cell>
          <cell r="F222" t="str">
            <v>FC BARCELONA</v>
          </cell>
          <cell r="G222" t="str">
            <v>ANADOLU EFES ISTANBUL</v>
          </cell>
          <cell r="H222" t="str">
            <v>Norm</v>
          </cell>
        </row>
        <row r="223">
          <cell r="A223">
            <v>221</v>
          </cell>
          <cell r="B223" t="str">
            <v>-</v>
          </cell>
          <cell r="C223" t="str">
            <v>-</v>
          </cell>
          <cell r="D223" t="str">
            <v>-</v>
          </cell>
          <cell r="E223" t="str">
            <v>-</v>
          </cell>
          <cell r="F223" t="str">
            <v>-</v>
          </cell>
          <cell r="G223" t="str">
            <v>-</v>
          </cell>
          <cell r="H223" t="str">
            <v>Norm</v>
          </cell>
        </row>
        <row r="224">
          <cell r="A224">
            <v>222</v>
          </cell>
          <cell r="B224" t="str">
            <v>23</v>
          </cell>
          <cell r="C224">
            <v>45679</v>
          </cell>
          <cell r="D224">
            <v>0.85416666666666663</v>
          </cell>
          <cell r="E224">
            <v>0.8125</v>
          </cell>
          <cell r="F224" t="str">
            <v>PARTIZAN MOZZART BET BELGRADE</v>
          </cell>
          <cell r="G224" t="str">
            <v>PARIS BASKETBALL</v>
          </cell>
          <cell r="H224" t="str">
            <v>Norm</v>
          </cell>
        </row>
        <row r="225">
          <cell r="A225">
            <v>223</v>
          </cell>
          <cell r="B225" t="str">
            <v>23</v>
          </cell>
          <cell r="C225">
            <v>45680</v>
          </cell>
          <cell r="D225">
            <v>0.85416666666666663</v>
          </cell>
          <cell r="E225">
            <v>0.72916666666666663</v>
          </cell>
          <cell r="F225" t="str">
            <v>ANADOLU EFES ISTANBUL</v>
          </cell>
          <cell r="G225" t="str">
            <v>EA7 EMPORIO ARMANI MILAN</v>
          </cell>
          <cell r="H225" t="str">
            <v>Norm</v>
          </cell>
        </row>
        <row r="226">
          <cell r="A226">
            <v>224</v>
          </cell>
          <cell r="B226" t="str">
            <v>23</v>
          </cell>
          <cell r="C226">
            <v>45680</v>
          </cell>
          <cell r="D226">
            <v>0.83680555555555558</v>
          </cell>
          <cell r="E226">
            <v>0.79513888888888884</v>
          </cell>
          <cell r="F226" t="str">
            <v>MACCABI PLAYTIKA TEL AVIV</v>
          </cell>
          <cell r="G226" t="str">
            <v>CRVENA ZVEZDA MERIDIANBET BELGRADE</v>
          </cell>
          <cell r="H226" t="str">
            <v>Norm</v>
          </cell>
        </row>
        <row r="227">
          <cell r="A227">
            <v>225</v>
          </cell>
          <cell r="B227" t="str">
            <v>23</v>
          </cell>
          <cell r="C227">
            <v>45680</v>
          </cell>
          <cell r="D227">
            <v>0.88541666666666663</v>
          </cell>
          <cell r="E227">
            <v>0.80208333333333337</v>
          </cell>
          <cell r="F227" t="str">
            <v>PANATHINAIKOS AKTOR ATHENS</v>
          </cell>
          <cell r="G227" t="str">
            <v>ZALGIRIS KAUNAS</v>
          </cell>
          <cell r="H227" t="str">
            <v>Norm</v>
          </cell>
        </row>
        <row r="228">
          <cell r="A228">
            <v>226</v>
          </cell>
          <cell r="B228" t="str">
            <v>23</v>
          </cell>
          <cell r="C228">
            <v>45680</v>
          </cell>
          <cell r="D228">
            <v>0.85416666666666663</v>
          </cell>
          <cell r="E228">
            <v>0.8125</v>
          </cell>
          <cell r="F228" t="str">
            <v>VIRTUS SEGAFREDO BOLOGNA</v>
          </cell>
          <cell r="G228" t="str">
            <v>AS MONACO</v>
          </cell>
          <cell r="H228" t="str">
            <v>Norm</v>
          </cell>
        </row>
        <row r="229">
          <cell r="A229">
            <v>227</v>
          </cell>
          <cell r="B229" t="str">
            <v>23</v>
          </cell>
          <cell r="C229">
            <v>45680</v>
          </cell>
          <cell r="D229">
            <v>0.86458333333333337</v>
          </cell>
          <cell r="E229">
            <v>0.82291666666666663</v>
          </cell>
          <cell r="F229" t="str">
            <v>REAL MADRID</v>
          </cell>
          <cell r="G229" t="str">
            <v>BASKONIA VITORIA-GASTEIZ</v>
          </cell>
          <cell r="H229" t="str">
            <v>Norm</v>
          </cell>
        </row>
        <row r="230">
          <cell r="A230">
            <v>228</v>
          </cell>
          <cell r="B230" t="str">
            <v>23</v>
          </cell>
          <cell r="C230">
            <v>45681</v>
          </cell>
          <cell r="D230">
            <v>0.83333333333333337</v>
          </cell>
          <cell r="E230">
            <v>0.79166666666666663</v>
          </cell>
          <cell r="F230" t="str">
            <v>ALBA BERLIN</v>
          </cell>
          <cell r="G230" t="str">
            <v>FC BAYERN MUNICH</v>
          </cell>
          <cell r="H230" t="str">
            <v>Norm</v>
          </cell>
        </row>
        <row r="231">
          <cell r="A231">
            <v>229</v>
          </cell>
          <cell r="B231" t="str">
            <v>23</v>
          </cell>
          <cell r="C231">
            <v>45681</v>
          </cell>
          <cell r="D231">
            <v>0.83333333333333337</v>
          </cell>
          <cell r="E231">
            <v>0.79166666666666663</v>
          </cell>
          <cell r="F231" t="str">
            <v>LDLC ASVEL VILLEURBANNE</v>
          </cell>
          <cell r="G231" t="str">
            <v>FC BARCELONA</v>
          </cell>
          <cell r="H231" t="str">
            <v>Norm</v>
          </cell>
        </row>
        <row r="232">
          <cell r="A232">
            <v>230</v>
          </cell>
          <cell r="B232" t="str">
            <v>23</v>
          </cell>
          <cell r="C232">
            <v>45681</v>
          </cell>
          <cell r="D232">
            <v>0.88541666666666663</v>
          </cell>
          <cell r="E232">
            <v>0.80208333333333337</v>
          </cell>
          <cell r="F232" t="str">
            <v>OLYMPIACOS PIRAEUS</v>
          </cell>
          <cell r="G232" t="str">
            <v>FENERBAHCE BEKO ISTANBUL</v>
          </cell>
          <cell r="H232" t="str">
            <v>GOW</v>
          </cell>
        </row>
        <row r="233">
          <cell r="A233">
            <v>231</v>
          </cell>
          <cell r="B233" t="str">
            <v>-</v>
          </cell>
          <cell r="C233" t="str">
            <v>-</v>
          </cell>
          <cell r="D233" t="str">
            <v>-</v>
          </cell>
          <cell r="E233" t="str">
            <v>-</v>
          </cell>
          <cell r="F233" t="str">
            <v>-</v>
          </cell>
          <cell r="G233" t="str">
            <v>-</v>
          </cell>
          <cell r="H233" t="str">
            <v>Norm</v>
          </cell>
        </row>
        <row r="234">
          <cell r="A234">
            <v>232</v>
          </cell>
          <cell r="B234" t="str">
            <v>24</v>
          </cell>
          <cell r="C234">
            <v>45687</v>
          </cell>
          <cell r="D234">
            <v>0.83333333333333337</v>
          </cell>
          <cell r="E234">
            <v>0.75</v>
          </cell>
          <cell r="F234" t="str">
            <v>ZALGIRIS KAUNAS</v>
          </cell>
          <cell r="G234" t="str">
            <v>FC BAYERN MUNICH</v>
          </cell>
          <cell r="H234" t="str">
            <v>Norm</v>
          </cell>
        </row>
        <row r="235">
          <cell r="A235">
            <v>233</v>
          </cell>
          <cell r="B235" t="str">
            <v>24</v>
          </cell>
          <cell r="C235">
            <v>45687</v>
          </cell>
          <cell r="D235">
            <v>0.83680555555555558</v>
          </cell>
          <cell r="E235">
            <v>0.79513888888888884</v>
          </cell>
          <cell r="F235" t="str">
            <v>MACCABI PLAYTIKA TEL AVIV</v>
          </cell>
          <cell r="G235" t="str">
            <v>ALBA BERLIN</v>
          </cell>
          <cell r="H235" t="str">
            <v>Norm</v>
          </cell>
        </row>
        <row r="236">
          <cell r="A236">
            <v>234</v>
          </cell>
          <cell r="B236" t="str">
            <v>24</v>
          </cell>
          <cell r="C236">
            <v>45687</v>
          </cell>
          <cell r="D236">
            <v>0.85416666666666663</v>
          </cell>
          <cell r="E236">
            <v>0.8125</v>
          </cell>
          <cell r="F236" t="str">
            <v>BASKONIA VITORIA-GASTEIZ</v>
          </cell>
          <cell r="G236" t="str">
            <v>FC BARCELONA</v>
          </cell>
          <cell r="H236" t="str">
            <v>Norm</v>
          </cell>
        </row>
        <row r="237">
          <cell r="A237">
            <v>235</v>
          </cell>
          <cell r="B237" t="str">
            <v>24</v>
          </cell>
          <cell r="C237">
            <v>45687</v>
          </cell>
          <cell r="D237">
            <v>0.85416666666666663</v>
          </cell>
          <cell r="E237">
            <v>0.8125</v>
          </cell>
          <cell r="F237" t="str">
            <v>EA7 EMPORIO ARMANI MILAN</v>
          </cell>
          <cell r="G237" t="str">
            <v>PANATHINAIKOS AKTOR ATHENS</v>
          </cell>
          <cell r="H237" t="str">
            <v>Norm+Post</v>
          </cell>
        </row>
        <row r="238">
          <cell r="A238">
            <v>236</v>
          </cell>
          <cell r="B238" t="str">
            <v>24</v>
          </cell>
          <cell r="C238">
            <v>45687</v>
          </cell>
          <cell r="D238">
            <v>0.85416666666666663</v>
          </cell>
          <cell r="E238">
            <v>0.8125</v>
          </cell>
          <cell r="F238" t="str">
            <v>PARIS BASKETBALL</v>
          </cell>
          <cell r="G238" t="str">
            <v>LDLC ASVEL VILLEURBANNE</v>
          </cell>
          <cell r="H238" t="str">
            <v>Norm</v>
          </cell>
        </row>
        <row r="239">
          <cell r="A239">
            <v>237</v>
          </cell>
          <cell r="B239" t="str">
            <v>24</v>
          </cell>
          <cell r="C239">
            <v>45688</v>
          </cell>
          <cell r="D239">
            <v>0.85416666666666663</v>
          </cell>
          <cell r="E239">
            <v>0.72916666666666663</v>
          </cell>
          <cell r="F239" t="str">
            <v>FENERBAHCE BEKO ISTANBUL</v>
          </cell>
          <cell r="G239" t="str">
            <v>VIRTUS SEGAFREDO BOLOGNA</v>
          </cell>
          <cell r="H239" t="str">
            <v>Norm</v>
          </cell>
        </row>
        <row r="240">
          <cell r="A240">
            <v>238</v>
          </cell>
          <cell r="B240" t="str">
            <v>24</v>
          </cell>
          <cell r="C240">
            <v>45688</v>
          </cell>
          <cell r="D240">
            <v>0.79166666666666663</v>
          </cell>
          <cell r="E240">
            <v>0.75</v>
          </cell>
          <cell r="F240" t="str">
            <v>AS MONACO</v>
          </cell>
          <cell r="G240" t="str">
            <v>REAL MADRID</v>
          </cell>
          <cell r="H240" t="str">
            <v>Norm</v>
          </cell>
        </row>
        <row r="241">
          <cell r="A241">
            <v>239</v>
          </cell>
          <cell r="B241" t="str">
            <v>24</v>
          </cell>
          <cell r="C241">
            <v>45688</v>
          </cell>
          <cell r="D241">
            <v>0.88541666666666663</v>
          </cell>
          <cell r="E241">
            <v>0.80208333333333337</v>
          </cell>
          <cell r="F241" t="str">
            <v>OLYMPIACOS PIRAEUS</v>
          </cell>
          <cell r="G241" t="str">
            <v>ANADOLU EFES ISTANBUL</v>
          </cell>
          <cell r="H241" t="str">
            <v>Norm</v>
          </cell>
        </row>
        <row r="242">
          <cell r="A242">
            <v>240</v>
          </cell>
          <cell r="B242" t="str">
            <v>24</v>
          </cell>
          <cell r="C242">
            <v>45688</v>
          </cell>
          <cell r="D242">
            <v>0.85416666666666663</v>
          </cell>
          <cell r="E242">
            <v>0.8125</v>
          </cell>
          <cell r="F242" t="str">
            <v>PARTIZAN MOZZART BET BELGRADE</v>
          </cell>
          <cell r="G242" t="str">
            <v>CRVENA ZVEZDA MERIDIANBET BELGRADE</v>
          </cell>
          <cell r="H242" t="str">
            <v>Norm</v>
          </cell>
        </row>
        <row r="243">
          <cell r="A243">
            <v>241</v>
          </cell>
          <cell r="B243" t="str">
            <v>-</v>
          </cell>
          <cell r="C243" t="str">
            <v>-</v>
          </cell>
          <cell r="D243" t="str">
            <v>-</v>
          </cell>
          <cell r="E243" t="str">
            <v>-</v>
          </cell>
          <cell r="F243" t="str">
            <v>-</v>
          </cell>
          <cell r="G243" t="str">
            <v>-</v>
          </cell>
          <cell r="H243" t="str">
            <v>Norm</v>
          </cell>
        </row>
        <row r="244">
          <cell r="A244">
            <v>242</v>
          </cell>
          <cell r="B244" t="str">
            <v>25</v>
          </cell>
          <cell r="C244">
            <v>45692</v>
          </cell>
          <cell r="D244">
            <v>0.85416666666666663</v>
          </cell>
          <cell r="E244">
            <v>0.72916666666666663</v>
          </cell>
          <cell r="F244" t="str">
            <v>ANADOLU EFES ISTANBUL</v>
          </cell>
          <cell r="G244" t="str">
            <v>REAL MADRID</v>
          </cell>
          <cell r="H244" t="str">
            <v>Norm</v>
          </cell>
        </row>
        <row r="245">
          <cell r="A245">
            <v>243</v>
          </cell>
          <cell r="B245" t="str">
            <v>25</v>
          </cell>
          <cell r="C245">
            <v>45692</v>
          </cell>
          <cell r="D245">
            <v>0.83333333333333337</v>
          </cell>
          <cell r="E245">
            <v>0.75</v>
          </cell>
          <cell r="F245" t="str">
            <v>ZALGIRIS KAUNAS</v>
          </cell>
          <cell r="G245" t="str">
            <v>ALBA BERLIN</v>
          </cell>
          <cell r="H245" t="str">
            <v>Norm</v>
          </cell>
        </row>
        <row r="246">
          <cell r="A246">
            <v>244</v>
          </cell>
          <cell r="B246" t="str">
            <v>25</v>
          </cell>
          <cell r="C246">
            <v>45692</v>
          </cell>
          <cell r="D246">
            <v>0.83333333333333337</v>
          </cell>
          <cell r="E246">
            <v>0.79166666666666663</v>
          </cell>
          <cell r="F246" t="str">
            <v>CRVENA ZVEZDA MERIDIANBET BELGRADE</v>
          </cell>
          <cell r="G246" t="str">
            <v>LDLC ASVEL VILLEURBANNE</v>
          </cell>
          <cell r="H246" t="str">
            <v>Norm</v>
          </cell>
        </row>
        <row r="247">
          <cell r="A247">
            <v>245</v>
          </cell>
          <cell r="B247" t="str">
            <v>25</v>
          </cell>
          <cell r="C247">
            <v>45692</v>
          </cell>
          <cell r="D247">
            <v>0.88541666666666663</v>
          </cell>
          <cell r="E247">
            <v>0.80208333333333337</v>
          </cell>
          <cell r="F247" t="str">
            <v>PANATHINAIKOS AKTOR ATHENS</v>
          </cell>
          <cell r="G247" t="str">
            <v>FENERBAHCE BEKO ISTANBUL</v>
          </cell>
          <cell r="H247" t="str">
            <v>GOW</v>
          </cell>
        </row>
        <row r="248">
          <cell r="A248">
            <v>246</v>
          </cell>
          <cell r="B248" t="str">
            <v>25</v>
          </cell>
          <cell r="C248">
            <v>45692</v>
          </cell>
          <cell r="D248">
            <v>0.86458333333333337</v>
          </cell>
          <cell r="E248">
            <v>0.82291666666666663</v>
          </cell>
          <cell r="F248" t="str">
            <v>FC BAYERN MUNICH</v>
          </cell>
          <cell r="G248" t="str">
            <v>EA7 EMPORIO ARMANI MILAN</v>
          </cell>
          <cell r="H248" t="str">
            <v>Norm</v>
          </cell>
        </row>
        <row r="249">
          <cell r="A249">
            <v>247</v>
          </cell>
          <cell r="B249" t="str">
            <v>25</v>
          </cell>
          <cell r="C249">
            <v>45693</v>
          </cell>
          <cell r="D249">
            <v>0.79166666666666663</v>
          </cell>
          <cell r="E249">
            <v>0.75</v>
          </cell>
          <cell r="F249" t="str">
            <v>AS MONACO</v>
          </cell>
          <cell r="G249" t="str">
            <v>BASKONIA VITORIA-GASTEIZ</v>
          </cell>
          <cell r="H249" t="str">
            <v>Norm</v>
          </cell>
        </row>
        <row r="250">
          <cell r="A250">
            <v>248</v>
          </cell>
          <cell r="B250" t="str">
            <v>25</v>
          </cell>
          <cell r="C250">
            <v>45693</v>
          </cell>
          <cell r="D250">
            <v>0.85416666666666663</v>
          </cell>
          <cell r="E250">
            <v>0.8125</v>
          </cell>
          <cell r="F250" t="str">
            <v>FC BARCELONA</v>
          </cell>
          <cell r="G250" t="str">
            <v>MACCABI PLAYTIKA TEL AVIV</v>
          </cell>
          <cell r="H250" t="str">
            <v>Norm</v>
          </cell>
        </row>
        <row r="251">
          <cell r="A251">
            <v>249</v>
          </cell>
          <cell r="B251" t="str">
            <v>25</v>
          </cell>
          <cell r="C251">
            <v>45693</v>
          </cell>
          <cell r="D251">
            <v>0.85416666666666663</v>
          </cell>
          <cell r="E251">
            <v>0.8125</v>
          </cell>
          <cell r="F251" t="str">
            <v>PARIS BASKETBALL</v>
          </cell>
          <cell r="G251" t="str">
            <v>OLYMPIACOS PIRAEUS</v>
          </cell>
          <cell r="H251" t="str">
            <v>Norm+Post</v>
          </cell>
        </row>
        <row r="252">
          <cell r="A252">
            <v>250</v>
          </cell>
          <cell r="B252" t="str">
            <v>25</v>
          </cell>
          <cell r="C252">
            <v>45693</v>
          </cell>
          <cell r="D252">
            <v>0.85416666666666663</v>
          </cell>
          <cell r="E252">
            <v>0.8125</v>
          </cell>
          <cell r="F252" t="str">
            <v>VIRTUS SEGAFREDO BOLOGNA</v>
          </cell>
          <cell r="G252" t="str">
            <v>PARTIZAN MOZZART BET BELGRADE</v>
          </cell>
          <cell r="H252" t="str">
            <v>Pre+Norm+Post</v>
          </cell>
        </row>
        <row r="253">
          <cell r="A253">
            <v>251</v>
          </cell>
          <cell r="B253" t="str">
            <v>-</v>
          </cell>
          <cell r="C253" t="str">
            <v>-</v>
          </cell>
          <cell r="D253" t="str">
            <v>-</v>
          </cell>
          <cell r="E253" t="str">
            <v>-</v>
          </cell>
          <cell r="F253" t="str">
            <v>-</v>
          </cell>
          <cell r="G253" t="str">
            <v>-</v>
          </cell>
          <cell r="H253" t="str">
            <v>Norm</v>
          </cell>
        </row>
        <row r="254">
          <cell r="A254">
            <v>252</v>
          </cell>
          <cell r="B254" t="str">
            <v>26</v>
          </cell>
          <cell r="C254">
            <v>45694</v>
          </cell>
          <cell r="D254">
            <v>0.85416666666666663</v>
          </cell>
          <cell r="E254">
            <v>0.72916666666666663</v>
          </cell>
          <cell r="F254" t="str">
            <v>FENERBAHCE BEKO ISTANBUL</v>
          </cell>
          <cell r="G254" t="str">
            <v>REAL MADRID</v>
          </cell>
          <cell r="H254" t="str">
            <v>Norm</v>
          </cell>
        </row>
        <row r="255">
          <cell r="A255">
            <v>253</v>
          </cell>
          <cell r="B255" t="str">
            <v>26</v>
          </cell>
          <cell r="C255">
            <v>45694</v>
          </cell>
          <cell r="D255">
            <v>0.79166666666666663</v>
          </cell>
          <cell r="E255">
            <v>0.75</v>
          </cell>
          <cell r="F255" t="str">
            <v>ALBA BERLIN</v>
          </cell>
          <cell r="G255" t="str">
            <v>CRVENA ZVEZDA MERIDIANBET BELGRADE</v>
          </cell>
          <cell r="H255" t="str">
            <v>Pre+Norm+Post</v>
          </cell>
        </row>
        <row r="256">
          <cell r="A256">
            <v>254</v>
          </cell>
          <cell r="B256" t="str">
            <v>26</v>
          </cell>
          <cell r="C256">
            <v>45694</v>
          </cell>
          <cell r="D256">
            <v>0.83333333333333337</v>
          </cell>
          <cell r="E256">
            <v>0.75</v>
          </cell>
          <cell r="F256" t="str">
            <v>ZALGIRIS KAUNAS</v>
          </cell>
          <cell r="G256" t="str">
            <v>EA7 EMPORIO ARMANI MILAN</v>
          </cell>
          <cell r="H256" t="str">
            <v>Norm</v>
          </cell>
        </row>
        <row r="257">
          <cell r="A257">
            <v>255</v>
          </cell>
          <cell r="B257" t="str">
            <v>26</v>
          </cell>
          <cell r="C257">
            <v>45694</v>
          </cell>
          <cell r="D257">
            <v>0.88541666666666663</v>
          </cell>
          <cell r="E257">
            <v>0.80208333333333337</v>
          </cell>
          <cell r="F257" t="str">
            <v>PANATHINAIKOS AKTOR ATHENS</v>
          </cell>
          <cell r="G257" t="str">
            <v>ANADOLU EFES ISTANBUL</v>
          </cell>
          <cell r="H257" t="str">
            <v>Norm</v>
          </cell>
        </row>
        <row r="258">
          <cell r="A258">
            <v>256</v>
          </cell>
          <cell r="B258" t="str">
            <v>26</v>
          </cell>
          <cell r="C258">
            <v>45694</v>
          </cell>
          <cell r="D258">
            <v>0.85416666666666663</v>
          </cell>
          <cell r="E258">
            <v>0.8125</v>
          </cell>
          <cell r="F258" t="str">
            <v>FC BAYERN MUNICH</v>
          </cell>
          <cell r="G258" t="str">
            <v>LDLC ASVEL VILLEURBANNE</v>
          </cell>
          <cell r="H258" t="str">
            <v>Norm</v>
          </cell>
        </row>
        <row r="259">
          <cell r="A259">
            <v>257</v>
          </cell>
          <cell r="B259" t="str">
            <v>26</v>
          </cell>
          <cell r="C259">
            <v>45695</v>
          </cell>
          <cell r="D259">
            <v>0.79166666666666663</v>
          </cell>
          <cell r="E259">
            <v>0.75</v>
          </cell>
          <cell r="F259" t="str">
            <v>AS MONACO</v>
          </cell>
          <cell r="G259" t="str">
            <v>PARTIZAN MOZZART BET BELGRADE</v>
          </cell>
          <cell r="H259" t="str">
            <v>Pre+Norm+Post</v>
          </cell>
        </row>
        <row r="260">
          <cell r="A260">
            <v>258</v>
          </cell>
          <cell r="B260" t="str">
            <v>26</v>
          </cell>
          <cell r="C260">
            <v>45695</v>
          </cell>
          <cell r="D260">
            <v>0.85416666666666663</v>
          </cell>
          <cell r="E260">
            <v>0.8125</v>
          </cell>
          <cell r="F260" t="str">
            <v>BASKONIA VITORIA-GASTEIZ</v>
          </cell>
          <cell r="G260" t="str">
            <v>MACCABI PLAYTIKA TEL AVIV</v>
          </cell>
          <cell r="H260" t="str">
            <v>Norm</v>
          </cell>
        </row>
        <row r="261">
          <cell r="A261">
            <v>259</v>
          </cell>
          <cell r="B261" t="str">
            <v>26</v>
          </cell>
          <cell r="C261">
            <v>45695</v>
          </cell>
          <cell r="D261">
            <v>0.85416666666666663</v>
          </cell>
          <cell r="E261">
            <v>0.8125</v>
          </cell>
          <cell r="F261" t="str">
            <v>FC BARCELONA</v>
          </cell>
          <cell r="G261" t="str">
            <v>OLYMPIACOS PIRAEUS</v>
          </cell>
          <cell r="H261" t="str">
            <v>GOW+Post</v>
          </cell>
        </row>
        <row r="262">
          <cell r="A262">
            <v>260</v>
          </cell>
          <cell r="B262" t="str">
            <v>26</v>
          </cell>
          <cell r="C262">
            <v>45695</v>
          </cell>
          <cell r="D262">
            <v>0.85416666666666663</v>
          </cell>
          <cell r="E262">
            <v>0.8125</v>
          </cell>
          <cell r="F262" t="str">
            <v>VIRTUS SEGAFREDO BOLOGNA</v>
          </cell>
          <cell r="G262" t="str">
            <v>PARIS BASKETBALL</v>
          </cell>
          <cell r="H262" t="str">
            <v>Norm</v>
          </cell>
        </row>
        <row r="263">
          <cell r="A263">
            <v>261</v>
          </cell>
          <cell r="B263" t="str">
            <v>-</v>
          </cell>
          <cell r="C263" t="str">
            <v>-</v>
          </cell>
          <cell r="D263" t="str">
            <v>-</v>
          </cell>
          <cell r="E263" t="str">
            <v>-</v>
          </cell>
          <cell r="F263" t="str">
            <v>-</v>
          </cell>
          <cell r="G263" t="str">
            <v>-</v>
          </cell>
          <cell r="H263" t="str">
            <v>Norm</v>
          </cell>
        </row>
        <row r="264">
          <cell r="A264">
            <v>262</v>
          </cell>
          <cell r="B264" t="str">
            <v>27</v>
          </cell>
          <cell r="C264">
            <v>45715</v>
          </cell>
          <cell r="D264">
            <v>0.83333333333333337</v>
          </cell>
          <cell r="E264">
            <v>0.79166666666666663</v>
          </cell>
          <cell r="F264" t="str">
            <v>CRVENA ZVEZDA MERIDIANBET BELGRADE</v>
          </cell>
          <cell r="G264" t="str">
            <v>ZALGIRIS KAUNAS</v>
          </cell>
          <cell r="H264" t="str">
            <v>Norm</v>
          </cell>
        </row>
        <row r="265">
          <cell r="A265">
            <v>263</v>
          </cell>
          <cell r="B265" t="str">
            <v>27</v>
          </cell>
          <cell r="C265">
            <v>45715</v>
          </cell>
          <cell r="D265">
            <v>0.875</v>
          </cell>
          <cell r="E265">
            <v>0.83333333333333337</v>
          </cell>
          <cell r="F265" t="str">
            <v>MACCABI PLAYTIKA TEL AVIV</v>
          </cell>
          <cell r="G265" t="str">
            <v>FENERBAHCE BEKO ISTANBUL</v>
          </cell>
          <cell r="H265" t="str">
            <v>Norm</v>
          </cell>
        </row>
        <row r="266">
          <cell r="A266">
            <v>264</v>
          </cell>
          <cell r="B266" t="str">
            <v>27</v>
          </cell>
          <cell r="C266">
            <v>45715</v>
          </cell>
          <cell r="D266">
            <v>0.85416666666666663</v>
          </cell>
          <cell r="E266">
            <v>0.8125</v>
          </cell>
          <cell r="F266" t="str">
            <v>EA7 EMPORIO ARMANI MILAN</v>
          </cell>
          <cell r="G266" t="str">
            <v>AS MONACO</v>
          </cell>
          <cell r="H266" t="str">
            <v>Norm</v>
          </cell>
        </row>
        <row r="267">
          <cell r="A267">
            <v>265</v>
          </cell>
          <cell r="B267" t="str">
            <v>27</v>
          </cell>
          <cell r="C267">
            <v>45715</v>
          </cell>
          <cell r="D267">
            <v>0.85416666666666663</v>
          </cell>
          <cell r="E267">
            <v>0.8125</v>
          </cell>
          <cell r="F267" t="str">
            <v>PARIS BASKETBALL</v>
          </cell>
          <cell r="G267" t="str">
            <v>FC BAYERN MUNICH</v>
          </cell>
          <cell r="H267" t="str">
            <v>Norm</v>
          </cell>
        </row>
        <row r="268">
          <cell r="A268">
            <v>266</v>
          </cell>
          <cell r="B268" t="str">
            <v>27</v>
          </cell>
          <cell r="C268">
            <v>45715</v>
          </cell>
          <cell r="D268">
            <v>0.86458333333333337</v>
          </cell>
          <cell r="E268">
            <v>0.82291666666666663</v>
          </cell>
          <cell r="F268" t="str">
            <v>REAL MADRID</v>
          </cell>
          <cell r="G268" t="str">
            <v>FC BARCELONA</v>
          </cell>
          <cell r="H268" t="str">
            <v>GOW</v>
          </cell>
        </row>
        <row r="269">
          <cell r="A269">
            <v>267</v>
          </cell>
          <cell r="B269" t="str">
            <v>27</v>
          </cell>
          <cell r="C269">
            <v>45716</v>
          </cell>
          <cell r="D269">
            <v>0.85416666666666663</v>
          </cell>
          <cell r="E269">
            <v>0.72916666666666663</v>
          </cell>
          <cell r="F269" t="str">
            <v>ANADOLU EFES ISTANBUL</v>
          </cell>
          <cell r="G269" t="str">
            <v>ALBA BERLIN</v>
          </cell>
          <cell r="H269" t="str">
            <v>Norm</v>
          </cell>
        </row>
        <row r="270">
          <cell r="A270">
            <v>268</v>
          </cell>
          <cell r="B270" t="str">
            <v>27</v>
          </cell>
          <cell r="C270">
            <v>45716</v>
          </cell>
          <cell r="D270">
            <v>0.83333333333333337</v>
          </cell>
          <cell r="E270">
            <v>0.79166666666666663</v>
          </cell>
          <cell r="F270" t="str">
            <v>VIRTUS SEGAFREDO BOLOGNA</v>
          </cell>
          <cell r="G270" t="str">
            <v>OLYMPIACOS PIRAEUS</v>
          </cell>
          <cell r="H270" t="str">
            <v>Norm+Post</v>
          </cell>
        </row>
        <row r="271">
          <cell r="A271">
            <v>269</v>
          </cell>
          <cell r="B271" t="str">
            <v>27</v>
          </cell>
          <cell r="C271">
            <v>45716</v>
          </cell>
          <cell r="D271">
            <v>0.85416666666666663</v>
          </cell>
          <cell r="E271">
            <v>0.8125</v>
          </cell>
          <cell r="F271" t="str">
            <v>PARTIZAN MOZZART BET BELGRADE</v>
          </cell>
          <cell r="G271" t="str">
            <v>BASKONIA VITORIA-GASTEIZ</v>
          </cell>
          <cell r="H271" t="str">
            <v>Norm</v>
          </cell>
        </row>
        <row r="272">
          <cell r="A272">
            <v>270</v>
          </cell>
          <cell r="B272" t="str">
            <v>27</v>
          </cell>
          <cell r="C272">
            <v>45716</v>
          </cell>
          <cell r="D272">
            <v>0.875</v>
          </cell>
          <cell r="E272">
            <v>0.83333333333333337</v>
          </cell>
          <cell r="F272" t="str">
            <v>LDLC ASVEL VILLEURBANNE</v>
          </cell>
          <cell r="G272" t="str">
            <v>PANATHINAIKOS AKTOR ATHENS</v>
          </cell>
          <cell r="H272" t="str">
            <v>Norm+Post</v>
          </cell>
        </row>
        <row r="273">
          <cell r="A273">
            <v>271</v>
          </cell>
          <cell r="B273" t="str">
            <v>-</v>
          </cell>
          <cell r="C273" t="str">
            <v>-</v>
          </cell>
          <cell r="D273" t="str">
            <v>-</v>
          </cell>
          <cell r="E273" t="str">
            <v>-</v>
          </cell>
          <cell r="F273" t="str">
            <v>-</v>
          </cell>
          <cell r="G273" t="str">
            <v>-</v>
          </cell>
          <cell r="H273" t="str">
            <v>Norm</v>
          </cell>
        </row>
        <row r="274">
          <cell r="A274">
            <v>272</v>
          </cell>
          <cell r="B274" t="str">
            <v>28</v>
          </cell>
          <cell r="C274">
            <v>45719</v>
          </cell>
          <cell r="D274">
            <v>0.85416666666666663</v>
          </cell>
          <cell r="E274">
            <v>0.8125</v>
          </cell>
          <cell r="F274" t="str">
            <v>PARIS BASKETBALL</v>
          </cell>
          <cell r="G274" t="str">
            <v>FENERBAHCE BEKO ISTANBUL</v>
          </cell>
          <cell r="H274" t="str">
            <v>Norm</v>
          </cell>
        </row>
        <row r="275">
          <cell r="A275">
            <v>273</v>
          </cell>
          <cell r="B275" t="str">
            <v>28</v>
          </cell>
          <cell r="C275">
            <v>45721</v>
          </cell>
          <cell r="D275">
            <v>0.85416666666666663</v>
          </cell>
          <cell r="E275">
            <v>0.8125</v>
          </cell>
          <cell r="F275" t="str">
            <v>PARIS BASKETBALL</v>
          </cell>
          <cell r="G275" t="str">
            <v>AS MONACO</v>
          </cell>
          <cell r="H275" t="str">
            <v>Norm</v>
          </cell>
        </row>
        <row r="276">
          <cell r="A276">
            <v>274</v>
          </cell>
          <cell r="B276" t="str">
            <v>28</v>
          </cell>
          <cell r="C276">
            <v>45722</v>
          </cell>
          <cell r="D276">
            <v>0.90625</v>
          </cell>
          <cell r="E276">
            <v>0.82291666666666663</v>
          </cell>
          <cell r="F276" t="str">
            <v>PANATHINAIKOS AKTOR ATHENS</v>
          </cell>
          <cell r="G276" t="str">
            <v>REAL MADRID</v>
          </cell>
          <cell r="H276" t="str">
            <v>GOW</v>
          </cell>
        </row>
        <row r="277">
          <cell r="A277">
            <v>275</v>
          </cell>
          <cell r="B277" t="str">
            <v>28</v>
          </cell>
          <cell r="C277">
            <v>45722</v>
          </cell>
          <cell r="D277">
            <v>0.85416666666666663</v>
          </cell>
          <cell r="E277">
            <v>0.8125</v>
          </cell>
          <cell r="F277" t="str">
            <v>BASKONIA VITORIA-GASTEIZ</v>
          </cell>
          <cell r="G277" t="str">
            <v>ZALGIRIS KAUNAS</v>
          </cell>
          <cell r="H277" t="str">
            <v>Norm</v>
          </cell>
        </row>
        <row r="278">
          <cell r="A278">
            <v>276</v>
          </cell>
          <cell r="B278" t="str">
            <v>28</v>
          </cell>
          <cell r="C278">
            <v>45722</v>
          </cell>
          <cell r="D278">
            <v>0.85416666666666663</v>
          </cell>
          <cell r="E278">
            <v>0.8125</v>
          </cell>
          <cell r="F278" t="str">
            <v>EA7 EMPORIO ARMANI MILAN</v>
          </cell>
          <cell r="G278" t="str">
            <v>FENERBAHCE BEKO ISTANBUL</v>
          </cell>
          <cell r="H278" t="str">
            <v>Norm</v>
          </cell>
        </row>
        <row r="279">
          <cell r="A279">
            <v>277</v>
          </cell>
          <cell r="B279" t="str">
            <v>28</v>
          </cell>
          <cell r="C279">
            <v>45722</v>
          </cell>
          <cell r="D279">
            <v>0.85416666666666663</v>
          </cell>
          <cell r="E279">
            <v>0.8125</v>
          </cell>
          <cell r="F279" t="str">
            <v>FC BAYERN MUNICH</v>
          </cell>
          <cell r="G279" t="str">
            <v>CRVENA ZVEZDA MERIDIANBET BELGRADE</v>
          </cell>
          <cell r="H279" t="str">
            <v>Pre+Norm+Post</v>
          </cell>
        </row>
        <row r="280">
          <cell r="A280">
            <v>278</v>
          </cell>
          <cell r="B280" t="str">
            <v>28</v>
          </cell>
          <cell r="C280">
            <v>45723</v>
          </cell>
          <cell r="D280">
            <v>0.85416666666666663</v>
          </cell>
          <cell r="E280">
            <v>0.72916666666666663</v>
          </cell>
          <cell r="F280" t="str">
            <v>ANADOLU EFES ISTANBUL</v>
          </cell>
          <cell r="G280" t="str">
            <v>VIRTUS SEGAFREDO BOLOGNA</v>
          </cell>
          <cell r="H280" t="str">
            <v>Norm</v>
          </cell>
        </row>
        <row r="281">
          <cell r="A281">
            <v>279</v>
          </cell>
          <cell r="B281" t="str">
            <v>28</v>
          </cell>
          <cell r="C281">
            <v>45723</v>
          </cell>
          <cell r="D281">
            <v>0.83333333333333337</v>
          </cell>
          <cell r="E281">
            <v>0.79166666666666663</v>
          </cell>
          <cell r="F281" t="str">
            <v>LDLC ASVEL VILLEURBANNE</v>
          </cell>
          <cell r="G281" t="str">
            <v>MACCABI PLAYTIKA TEL AVIV</v>
          </cell>
          <cell r="H281" t="str">
            <v>Norm</v>
          </cell>
        </row>
        <row r="282">
          <cell r="A282">
            <v>280</v>
          </cell>
          <cell r="B282" t="str">
            <v>28</v>
          </cell>
          <cell r="C282">
            <v>45723</v>
          </cell>
          <cell r="D282">
            <v>0.88541666666666663</v>
          </cell>
          <cell r="E282">
            <v>0.80208333333333337</v>
          </cell>
          <cell r="F282" t="str">
            <v>OLYMPIACOS PIRAEUS</v>
          </cell>
          <cell r="G282" t="str">
            <v>PARTIZAN MOZZART BET BELGRADE</v>
          </cell>
          <cell r="H282" t="str">
            <v>Pre+Norm+Post</v>
          </cell>
        </row>
        <row r="283">
          <cell r="A283">
            <v>281</v>
          </cell>
          <cell r="B283" t="str">
            <v>28</v>
          </cell>
          <cell r="C283">
            <v>45723</v>
          </cell>
          <cell r="D283">
            <v>0.85416666666666663</v>
          </cell>
          <cell r="E283">
            <v>0.8125</v>
          </cell>
          <cell r="F283" t="str">
            <v>ALBA BERLIN</v>
          </cell>
          <cell r="G283" t="str">
            <v>FC BARCELONA</v>
          </cell>
          <cell r="H283" t="str">
            <v>Norm</v>
          </cell>
        </row>
        <row r="284">
          <cell r="A284">
            <v>282</v>
          </cell>
          <cell r="B284" t="str">
            <v>-</v>
          </cell>
          <cell r="C284" t="str">
            <v>-</v>
          </cell>
          <cell r="D284" t="str">
            <v>-</v>
          </cell>
          <cell r="E284" t="str">
            <v>-</v>
          </cell>
          <cell r="F284" t="str">
            <v>-</v>
          </cell>
          <cell r="G284" t="str">
            <v>-</v>
          </cell>
          <cell r="H284" t="str">
            <v>Norm</v>
          </cell>
        </row>
        <row r="285">
          <cell r="A285">
            <v>283</v>
          </cell>
          <cell r="B285" t="str">
            <v>29</v>
          </cell>
          <cell r="C285">
            <v>45729</v>
          </cell>
          <cell r="D285">
            <v>0.86458333333333337</v>
          </cell>
          <cell r="E285">
            <v>0.73958333333333337</v>
          </cell>
          <cell r="F285" t="str">
            <v>FENERBAHCE BEKO ISTANBUL</v>
          </cell>
          <cell r="G285" t="str">
            <v>LDLC ASVEL VILLEURBANNE</v>
          </cell>
          <cell r="H285" t="str">
            <v>Norm</v>
          </cell>
        </row>
        <row r="286">
          <cell r="A286">
            <v>284</v>
          </cell>
          <cell r="B286" t="str">
            <v>29</v>
          </cell>
          <cell r="C286">
            <v>45729</v>
          </cell>
          <cell r="D286">
            <v>0.79166666666666663</v>
          </cell>
          <cell r="E286">
            <v>0.75</v>
          </cell>
          <cell r="F286" t="str">
            <v>CRVENA ZVEZDA MERIDIANBET BELGRADE</v>
          </cell>
          <cell r="G286" t="str">
            <v>EA7 EMPORIO ARMANI MILAN</v>
          </cell>
          <cell r="H286" t="str">
            <v>Norm</v>
          </cell>
        </row>
        <row r="287">
          <cell r="A287">
            <v>285</v>
          </cell>
          <cell r="B287" t="str">
            <v>29</v>
          </cell>
          <cell r="C287">
            <v>45729</v>
          </cell>
          <cell r="D287">
            <v>0.83333333333333337</v>
          </cell>
          <cell r="E287">
            <v>0.75</v>
          </cell>
          <cell r="F287" t="str">
            <v>ZALGIRIS KAUNAS</v>
          </cell>
          <cell r="G287" t="str">
            <v>PARIS BASKETBALL</v>
          </cell>
          <cell r="H287" t="str">
            <v>Norm</v>
          </cell>
        </row>
        <row r="288">
          <cell r="A288">
            <v>286</v>
          </cell>
          <cell r="B288" t="str">
            <v>29</v>
          </cell>
          <cell r="C288">
            <v>45729</v>
          </cell>
          <cell r="D288">
            <v>0.83333333333333337</v>
          </cell>
          <cell r="E288">
            <v>0.79166666666666663</v>
          </cell>
          <cell r="F288" t="str">
            <v>ALBA BERLIN</v>
          </cell>
          <cell r="G288" t="str">
            <v>BASKONIA VITORIA-GASTEIZ</v>
          </cell>
          <cell r="H288" t="str">
            <v>Norm</v>
          </cell>
        </row>
        <row r="289">
          <cell r="A289">
            <v>287</v>
          </cell>
          <cell r="B289" t="str">
            <v>29</v>
          </cell>
          <cell r="C289">
            <v>45729</v>
          </cell>
          <cell r="D289">
            <v>0.83680555555555558</v>
          </cell>
          <cell r="E289">
            <v>0.79513888888888884</v>
          </cell>
          <cell r="F289" t="str">
            <v>MACCABI PLAYTIKA TEL AVIV</v>
          </cell>
          <cell r="G289" t="str">
            <v>AS MONACO</v>
          </cell>
          <cell r="H289" t="str">
            <v>Norm</v>
          </cell>
        </row>
        <row r="290">
          <cell r="A290">
            <v>288</v>
          </cell>
          <cell r="B290" t="str">
            <v>29</v>
          </cell>
          <cell r="C290">
            <v>45729</v>
          </cell>
          <cell r="D290">
            <v>0.86458333333333337</v>
          </cell>
          <cell r="E290">
            <v>0.82291666666666663</v>
          </cell>
          <cell r="F290" t="str">
            <v>VIRTUS SEGAFREDO BOLOGNA</v>
          </cell>
          <cell r="G290" t="str">
            <v>REAL MADRID</v>
          </cell>
          <cell r="H290" t="str">
            <v>Norm</v>
          </cell>
        </row>
        <row r="291">
          <cell r="A291">
            <v>289</v>
          </cell>
          <cell r="B291" t="str">
            <v>29</v>
          </cell>
          <cell r="C291">
            <v>45730</v>
          </cell>
          <cell r="D291">
            <v>0.88541666666666663</v>
          </cell>
          <cell r="E291">
            <v>0.80208333333333337</v>
          </cell>
          <cell r="F291" t="str">
            <v>OLYMPIACOS PIRAEUS</v>
          </cell>
          <cell r="G291" t="str">
            <v>PANATHINAIKOS AKTOR ATHENS</v>
          </cell>
          <cell r="H291" t="str">
            <v>GOW</v>
          </cell>
        </row>
        <row r="292">
          <cell r="A292">
            <v>290</v>
          </cell>
          <cell r="B292" t="str">
            <v>29</v>
          </cell>
          <cell r="C292">
            <v>45730</v>
          </cell>
          <cell r="D292">
            <v>0.85416666666666663</v>
          </cell>
          <cell r="E292">
            <v>0.8125</v>
          </cell>
          <cell r="F292" t="str">
            <v>FC BAYERN MUNICH</v>
          </cell>
          <cell r="G292" t="str">
            <v>ANADOLU EFES ISTANBUL</v>
          </cell>
          <cell r="H292" t="str">
            <v>Norm</v>
          </cell>
        </row>
        <row r="293">
          <cell r="A293">
            <v>291</v>
          </cell>
          <cell r="B293" t="str">
            <v>29</v>
          </cell>
          <cell r="C293">
            <v>45730</v>
          </cell>
          <cell r="D293">
            <v>0.86458333333333337</v>
          </cell>
          <cell r="E293">
            <v>0.82291666666666663</v>
          </cell>
          <cell r="F293" t="str">
            <v>FC BARCELONA</v>
          </cell>
          <cell r="G293" t="str">
            <v>PARTIZAN MOZZART BET BELGRADE</v>
          </cell>
          <cell r="H293" t="str">
            <v>Pre+Norm+Post</v>
          </cell>
        </row>
        <row r="294">
          <cell r="A294">
            <v>292</v>
          </cell>
          <cell r="B294" t="str">
            <v>-</v>
          </cell>
          <cell r="C294" t="str">
            <v>-</v>
          </cell>
          <cell r="D294" t="str">
            <v>-</v>
          </cell>
          <cell r="E294" t="str">
            <v>-</v>
          </cell>
          <cell r="F294" t="str">
            <v>-</v>
          </cell>
          <cell r="G294" t="str">
            <v>-</v>
          </cell>
          <cell r="H294" t="str">
            <v>Norm</v>
          </cell>
        </row>
        <row r="295">
          <cell r="A295">
            <v>293</v>
          </cell>
          <cell r="B295" t="str">
            <v>30</v>
          </cell>
          <cell r="C295">
            <v>45734</v>
          </cell>
          <cell r="D295">
            <v>0.85416666666666663</v>
          </cell>
          <cell r="E295">
            <v>0.8125</v>
          </cell>
          <cell r="F295" t="str">
            <v>PARIS BASKETBALL</v>
          </cell>
          <cell r="G295" t="str">
            <v>EA7 EMPORIO ARMANI MILAN</v>
          </cell>
          <cell r="H295" t="str">
            <v>Norm</v>
          </cell>
        </row>
        <row r="296">
          <cell r="A296">
            <v>294</v>
          </cell>
          <cell r="B296" t="str">
            <v>30</v>
          </cell>
          <cell r="C296">
            <v>45736</v>
          </cell>
          <cell r="D296">
            <v>0.79166666666666663</v>
          </cell>
          <cell r="E296">
            <v>0.75</v>
          </cell>
          <cell r="F296" t="str">
            <v>AS MONACO</v>
          </cell>
          <cell r="G296" t="str">
            <v>FENERBAHCE BEKO ISTANBUL</v>
          </cell>
          <cell r="H296" t="str">
            <v>GOW</v>
          </cell>
        </row>
        <row r="297">
          <cell r="A297">
            <v>295</v>
          </cell>
          <cell r="B297" t="str">
            <v>30</v>
          </cell>
          <cell r="C297">
            <v>45736</v>
          </cell>
          <cell r="D297">
            <v>0.83333333333333337</v>
          </cell>
          <cell r="E297">
            <v>0.75</v>
          </cell>
          <cell r="F297" t="str">
            <v>OLYMPIACOS PIRAEUS</v>
          </cell>
          <cell r="G297" t="str">
            <v>CRVENA ZVEZDA MERIDIANBET BELGRADE</v>
          </cell>
          <cell r="H297" t="str">
            <v>Pre+Norm+Post</v>
          </cell>
        </row>
        <row r="298">
          <cell r="A298">
            <v>296</v>
          </cell>
          <cell r="B298" t="str">
            <v>30</v>
          </cell>
          <cell r="C298">
            <v>45736</v>
          </cell>
          <cell r="D298">
            <v>0.84375</v>
          </cell>
          <cell r="E298">
            <v>0.80208333333333337</v>
          </cell>
          <cell r="F298" t="str">
            <v>MACCABI PLAYTIKA TEL AVIV</v>
          </cell>
          <cell r="G298" t="str">
            <v>VIRTUS SEGAFREDO BOLOGNA</v>
          </cell>
          <cell r="H298" t="str">
            <v>Norm</v>
          </cell>
        </row>
        <row r="299">
          <cell r="A299">
            <v>297</v>
          </cell>
          <cell r="B299" t="str">
            <v>30</v>
          </cell>
          <cell r="C299">
            <v>45736</v>
          </cell>
          <cell r="D299">
            <v>0.85416666666666663</v>
          </cell>
          <cell r="E299">
            <v>0.8125</v>
          </cell>
          <cell r="F299" t="str">
            <v>BASKONIA VITORIA-GASTEIZ</v>
          </cell>
          <cell r="G299" t="str">
            <v>FC BAYERN MUNICH</v>
          </cell>
          <cell r="H299" t="str">
            <v>Norm</v>
          </cell>
        </row>
        <row r="300">
          <cell r="A300">
            <v>298</v>
          </cell>
          <cell r="B300" t="str">
            <v>30</v>
          </cell>
          <cell r="C300">
            <v>45736</v>
          </cell>
          <cell r="D300">
            <v>0.86458333333333337</v>
          </cell>
          <cell r="E300">
            <v>0.82291666666666663</v>
          </cell>
          <cell r="F300" t="str">
            <v>REAL MADRID</v>
          </cell>
          <cell r="G300" t="str">
            <v>LDLC ASVEL VILLEURBANNE</v>
          </cell>
          <cell r="H300" t="str">
            <v>Norm</v>
          </cell>
        </row>
        <row r="301">
          <cell r="A301">
            <v>299</v>
          </cell>
          <cell r="B301" t="str">
            <v>30</v>
          </cell>
          <cell r="C301">
            <v>45737</v>
          </cell>
          <cell r="D301">
            <v>0.88541666666666663</v>
          </cell>
          <cell r="E301">
            <v>0.80208333333333337</v>
          </cell>
          <cell r="F301" t="str">
            <v>PANATHINAIKOS AKTOR ATHENS</v>
          </cell>
          <cell r="G301" t="str">
            <v>ALBA BERLIN</v>
          </cell>
          <cell r="H301" t="str">
            <v>Norm</v>
          </cell>
        </row>
        <row r="302">
          <cell r="A302">
            <v>300</v>
          </cell>
          <cell r="B302" t="str">
            <v>30</v>
          </cell>
          <cell r="C302">
            <v>45737</v>
          </cell>
          <cell r="D302">
            <v>0.85416666666666663</v>
          </cell>
          <cell r="E302">
            <v>0.8125</v>
          </cell>
          <cell r="F302" t="str">
            <v>FC BARCELONA</v>
          </cell>
          <cell r="G302" t="str">
            <v>ZALGIRIS KAUNAS</v>
          </cell>
          <cell r="H302" t="str">
            <v>Norm</v>
          </cell>
        </row>
        <row r="303">
          <cell r="A303">
            <v>301</v>
          </cell>
          <cell r="B303" t="str">
            <v>30</v>
          </cell>
          <cell r="C303">
            <v>45737</v>
          </cell>
          <cell r="D303">
            <v>0.86458333333333337</v>
          </cell>
          <cell r="E303">
            <v>0.82291666666666663</v>
          </cell>
          <cell r="F303" t="str">
            <v>PARTIZAN MOZZART BET BELGRADE</v>
          </cell>
          <cell r="G303" t="str">
            <v>ANADOLU EFES ISTANBUL</v>
          </cell>
          <cell r="H303" t="str">
            <v>Norm</v>
          </cell>
        </row>
        <row r="304">
          <cell r="A304">
            <v>302</v>
          </cell>
          <cell r="B304" t="str">
            <v>-</v>
          </cell>
          <cell r="C304" t="str">
            <v>-</v>
          </cell>
          <cell r="D304" t="str">
            <v>-</v>
          </cell>
          <cell r="E304" t="str">
            <v>-</v>
          </cell>
          <cell r="F304" t="str">
            <v>-</v>
          </cell>
          <cell r="G304" t="str">
            <v>-</v>
          </cell>
          <cell r="H304" t="str">
            <v>Norm</v>
          </cell>
        </row>
        <row r="305">
          <cell r="A305">
            <v>303</v>
          </cell>
          <cell r="B305" t="str">
            <v>31</v>
          </cell>
          <cell r="C305">
            <v>45741</v>
          </cell>
          <cell r="D305">
            <v>0.86458333333333337</v>
          </cell>
          <cell r="E305">
            <v>0.73958333333333337</v>
          </cell>
          <cell r="F305" t="str">
            <v>FENERBAHCE BEKO ISTANBUL</v>
          </cell>
          <cell r="G305" t="str">
            <v>PARIS BASKETBALL</v>
          </cell>
          <cell r="H305" t="str">
            <v>GOW</v>
          </cell>
        </row>
        <row r="306">
          <cell r="A306">
            <v>304</v>
          </cell>
          <cell r="B306" t="str">
            <v>31</v>
          </cell>
          <cell r="C306">
            <v>45741</v>
          </cell>
          <cell r="D306">
            <v>0.79166666666666663</v>
          </cell>
          <cell r="E306">
            <v>0.75</v>
          </cell>
          <cell r="F306" t="str">
            <v>AS MONACO</v>
          </cell>
          <cell r="G306" t="str">
            <v>ZALGIRIS KAUNAS</v>
          </cell>
          <cell r="H306" t="str">
            <v>Norm</v>
          </cell>
        </row>
        <row r="307">
          <cell r="A307">
            <v>305</v>
          </cell>
          <cell r="B307" t="str">
            <v>31</v>
          </cell>
          <cell r="C307">
            <v>45741</v>
          </cell>
          <cell r="D307">
            <v>0.85416666666666663</v>
          </cell>
          <cell r="E307">
            <v>0.8125</v>
          </cell>
          <cell r="F307" t="str">
            <v>FC BARCELONA</v>
          </cell>
          <cell r="G307" t="str">
            <v>FC BAYERN MUNICH</v>
          </cell>
          <cell r="H307" t="str">
            <v>Norm</v>
          </cell>
        </row>
        <row r="308">
          <cell r="A308">
            <v>306</v>
          </cell>
          <cell r="B308" t="str">
            <v>31</v>
          </cell>
          <cell r="C308">
            <v>45741</v>
          </cell>
          <cell r="D308">
            <v>0.86458333333333337</v>
          </cell>
          <cell r="E308">
            <v>0.82291666666666663</v>
          </cell>
          <cell r="F308" t="str">
            <v>LDLC ASVEL VILLEURBANNE</v>
          </cell>
          <cell r="G308" t="str">
            <v>OLYMPIACOS PIRAEUS</v>
          </cell>
          <cell r="H308" t="str">
            <v>Norm+Post</v>
          </cell>
        </row>
        <row r="309">
          <cell r="A309">
            <v>307</v>
          </cell>
          <cell r="B309" t="str">
            <v>31</v>
          </cell>
          <cell r="C309">
            <v>45741</v>
          </cell>
          <cell r="D309">
            <v>0.86458333333333337</v>
          </cell>
          <cell r="E309">
            <v>0.82291666666666663</v>
          </cell>
          <cell r="F309" t="str">
            <v>PARTIZAN MOZZART BET BELGRADE</v>
          </cell>
          <cell r="G309" t="str">
            <v>ALBA BERLIN</v>
          </cell>
          <cell r="H309" t="str">
            <v>Norm</v>
          </cell>
        </row>
        <row r="310">
          <cell r="A310">
            <v>308</v>
          </cell>
          <cell r="B310" t="str">
            <v>31</v>
          </cell>
          <cell r="C310">
            <v>45741</v>
          </cell>
          <cell r="D310">
            <v>0.86458333333333337</v>
          </cell>
          <cell r="E310">
            <v>0.82291666666666663</v>
          </cell>
          <cell r="F310" t="str">
            <v>REAL MADRID</v>
          </cell>
          <cell r="G310" t="str">
            <v>EA7 EMPORIO ARMANI MILAN</v>
          </cell>
          <cell r="H310" t="str">
            <v>Norm</v>
          </cell>
        </row>
        <row r="311">
          <cell r="A311">
            <v>309</v>
          </cell>
          <cell r="B311" t="str">
            <v>31</v>
          </cell>
          <cell r="C311">
            <v>45742</v>
          </cell>
          <cell r="D311">
            <v>0.85416666666666663</v>
          </cell>
          <cell r="E311">
            <v>0.72916666666666663</v>
          </cell>
          <cell r="F311" t="str">
            <v>ANADOLU EFES ISTANBUL</v>
          </cell>
          <cell r="G311" t="str">
            <v>BASKONIA VITORIA-GASTEIZ</v>
          </cell>
          <cell r="H311" t="str">
            <v>Norm</v>
          </cell>
        </row>
        <row r="312">
          <cell r="A312">
            <v>310</v>
          </cell>
          <cell r="B312" t="str">
            <v>31</v>
          </cell>
          <cell r="C312">
            <v>45742</v>
          </cell>
          <cell r="D312">
            <v>0.83333333333333337</v>
          </cell>
          <cell r="E312">
            <v>0.79166666666666663</v>
          </cell>
          <cell r="F312" t="str">
            <v>CRVENA ZVEZDA MERIDIANBET BELGRADE</v>
          </cell>
          <cell r="G312" t="str">
            <v>VIRTUS SEGAFREDO BOLOGNA</v>
          </cell>
          <cell r="H312" t="str">
            <v>Norm</v>
          </cell>
        </row>
        <row r="313">
          <cell r="A313">
            <v>311</v>
          </cell>
          <cell r="B313" t="str">
            <v>31</v>
          </cell>
          <cell r="C313">
            <v>45742</v>
          </cell>
          <cell r="D313">
            <v>0.83680555555555558</v>
          </cell>
          <cell r="E313">
            <v>0.79513888888888884</v>
          </cell>
          <cell r="F313" t="str">
            <v>MACCABI PLAYTIKA TEL AVIV</v>
          </cell>
          <cell r="G313" t="str">
            <v>PANATHINAIKOS AKTOR ATHENS</v>
          </cell>
          <cell r="H313" t="str">
            <v>Norm+Post</v>
          </cell>
        </row>
        <row r="314">
          <cell r="A314">
            <v>312</v>
          </cell>
          <cell r="B314" t="str">
            <v>-</v>
          </cell>
          <cell r="C314" t="str">
            <v>-</v>
          </cell>
          <cell r="D314" t="str">
            <v>-</v>
          </cell>
          <cell r="E314" t="str">
            <v>-</v>
          </cell>
          <cell r="F314" t="str">
            <v>-</v>
          </cell>
          <cell r="G314" t="str">
            <v>-</v>
          </cell>
          <cell r="H314" t="str">
            <v>Norm</v>
          </cell>
        </row>
        <row r="315">
          <cell r="A315">
            <v>313</v>
          </cell>
          <cell r="B315" t="str">
            <v>32</v>
          </cell>
          <cell r="C315">
            <v>45743</v>
          </cell>
          <cell r="D315">
            <v>0.83333333333333337</v>
          </cell>
          <cell r="E315">
            <v>0.79166666666666663</v>
          </cell>
          <cell r="F315" t="str">
            <v>LDLC ASVEL VILLEURBANNE</v>
          </cell>
          <cell r="G315" t="str">
            <v>ZALGIRIS KAUNAS</v>
          </cell>
          <cell r="H315" t="str">
            <v>Norm</v>
          </cell>
        </row>
        <row r="316">
          <cell r="A316">
            <v>314</v>
          </cell>
          <cell r="B316" t="str">
            <v>32</v>
          </cell>
          <cell r="C316">
            <v>45743</v>
          </cell>
          <cell r="D316">
            <v>0.88541666666666663</v>
          </cell>
          <cell r="E316">
            <v>0.80208333333333337</v>
          </cell>
          <cell r="F316" t="str">
            <v>OLYMPIACOS PIRAEUS</v>
          </cell>
          <cell r="G316" t="str">
            <v>AS MONACO</v>
          </cell>
          <cell r="H316" t="str">
            <v>Norm</v>
          </cell>
        </row>
        <row r="317">
          <cell r="A317">
            <v>315</v>
          </cell>
          <cell r="B317" t="str">
            <v>32</v>
          </cell>
          <cell r="C317">
            <v>45743</v>
          </cell>
          <cell r="D317">
            <v>0.85416666666666663</v>
          </cell>
          <cell r="E317">
            <v>0.8125</v>
          </cell>
          <cell r="F317" t="str">
            <v>EA7 EMPORIO ARMANI MILAN</v>
          </cell>
          <cell r="G317" t="str">
            <v>FC BARCELONA</v>
          </cell>
          <cell r="H317" t="str">
            <v>Norm</v>
          </cell>
        </row>
        <row r="318">
          <cell r="A318">
            <v>316</v>
          </cell>
          <cell r="B318" t="str">
            <v>32</v>
          </cell>
          <cell r="C318">
            <v>45743</v>
          </cell>
          <cell r="D318">
            <v>0.85416666666666663</v>
          </cell>
          <cell r="E318">
            <v>0.8125</v>
          </cell>
          <cell r="F318" t="str">
            <v>FC BAYERN MUNICH</v>
          </cell>
          <cell r="G318" t="str">
            <v>PARTIZAN MOZZART BET BELGRADE</v>
          </cell>
          <cell r="H318" t="str">
            <v>Pre+Norm+Post</v>
          </cell>
        </row>
        <row r="319">
          <cell r="A319">
            <v>317</v>
          </cell>
          <cell r="B319" t="str">
            <v>32</v>
          </cell>
          <cell r="C319">
            <v>45744</v>
          </cell>
          <cell r="D319">
            <v>0.8125</v>
          </cell>
          <cell r="E319">
            <v>0.72916666666666663</v>
          </cell>
          <cell r="F319" t="str">
            <v>ANADOLU EFES ISTANBUL</v>
          </cell>
          <cell r="G319" t="str">
            <v>MACCABI PLAYTIKA TEL AVIV</v>
          </cell>
          <cell r="H319" t="str">
            <v>Norm</v>
          </cell>
        </row>
        <row r="320">
          <cell r="A320">
            <v>318</v>
          </cell>
          <cell r="B320" t="str">
            <v>32</v>
          </cell>
          <cell r="C320">
            <v>45744</v>
          </cell>
          <cell r="D320">
            <v>0.86458333333333337</v>
          </cell>
          <cell r="E320">
            <v>0.73958333333333337</v>
          </cell>
          <cell r="F320" t="str">
            <v>FENERBAHCE BEKO ISTANBUL</v>
          </cell>
          <cell r="G320" t="str">
            <v>BASKONIA VITORIA-GASTEIZ</v>
          </cell>
          <cell r="H320" t="str">
            <v>Norm</v>
          </cell>
        </row>
        <row r="321">
          <cell r="A321">
            <v>319</v>
          </cell>
          <cell r="B321" t="str">
            <v>32</v>
          </cell>
          <cell r="C321">
            <v>45744</v>
          </cell>
          <cell r="D321">
            <v>0.83333333333333337</v>
          </cell>
          <cell r="E321">
            <v>0.79166666666666663</v>
          </cell>
          <cell r="F321" t="str">
            <v>ALBA BERLIN</v>
          </cell>
          <cell r="G321" t="str">
            <v>VIRTUS SEGAFREDO BOLOGNA</v>
          </cell>
          <cell r="H321" t="str">
            <v>Norm</v>
          </cell>
        </row>
        <row r="322">
          <cell r="A322">
            <v>320</v>
          </cell>
          <cell r="B322" t="str">
            <v>32</v>
          </cell>
          <cell r="C322">
            <v>45744</v>
          </cell>
          <cell r="D322">
            <v>0.83333333333333337</v>
          </cell>
          <cell r="E322">
            <v>0.79166666666666663</v>
          </cell>
          <cell r="F322" t="str">
            <v>CRVENA ZVEZDA MERIDIANBET BELGRADE</v>
          </cell>
          <cell r="G322" t="str">
            <v>REAL MADRID</v>
          </cell>
          <cell r="H322" t="str">
            <v>GOW</v>
          </cell>
        </row>
        <row r="323">
          <cell r="A323">
            <v>321</v>
          </cell>
          <cell r="B323" t="str">
            <v>32</v>
          </cell>
          <cell r="C323">
            <v>45744</v>
          </cell>
          <cell r="D323">
            <v>0.88541666666666663</v>
          </cell>
          <cell r="E323">
            <v>0.80208333333333337</v>
          </cell>
          <cell r="F323" t="str">
            <v>PANATHINAIKOS AKTOR ATHENS</v>
          </cell>
          <cell r="G323" t="str">
            <v>PARIS BASKETBALL</v>
          </cell>
          <cell r="H323" t="str">
            <v>Norm</v>
          </cell>
        </row>
        <row r="324">
          <cell r="A324">
            <v>322</v>
          </cell>
          <cell r="B324" t="str">
            <v>-</v>
          </cell>
          <cell r="C324" t="str">
            <v>-</v>
          </cell>
          <cell r="D324" t="str">
            <v>-</v>
          </cell>
          <cell r="E324" t="str">
            <v>-</v>
          </cell>
          <cell r="F324" t="str">
            <v>-</v>
          </cell>
          <cell r="G324" t="str">
            <v>-</v>
          </cell>
          <cell r="H324" t="str">
            <v>Norm</v>
          </cell>
        </row>
        <row r="325">
          <cell r="A325">
            <v>323</v>
          </cell>
          <cell r="B325" t="str">
            <v>33</v>
          </cell>
          <cell r="C325">
            <v>45749</v>
          </cell>
          <cell r="D325">
            <v>0.86458333333333337</v>
          </cell>
          <cell r="E325">
            <v>0.73958333333333337</v>
          </cell>
          <cell r="F325" t="str">
            <v>FENERBAHCE BEKO ISTANBUL</v>
          </cell>
          <cell r="G325" t="str">
            <v>FC BARCELONA</v>
          </cell>
          <cell r="H325" t="str">
            <v>Norm</v>
          </cell>
        </row>
        <row r="326">
          <cell r="A326">
            <v>324</v>
          </cell>
          <cell r="B326" t="str">
            <v>33</v>
          </cell>
          <cell r="C326">
            <v>45750</v>
          </cell>
          <cell r="D326">
            <v>0.79166666666666663</v>
          </cell>
          <cell r="E326">
            <v>0.70833333333333337</v>
          </cell>
          <cell r="F326" t="str">
            <v>AS MONACO</v>
          </cell>
          <cell r="G326" t="str">
            <v>PANATHINAIKOS AKTOR ATHENS</v>
          </cell>
          <cell r="H326" t="str">
            <v>GOW+Post</v>
          </cell>
        </row>
        <row r="327">
          <cell r="A327">
            <v>325</v>
          </cell>
          <cell r="B327" t="str">
            <v>33</v>
          </cell>
          <cell r="C327">
            <v>45750</v>
          </cell>
          <cell r="D327">
            <v>0.83333333333333337</v>
          </cell>
          <cell r="E327">
            <v>0.70833333333333337</v>
          </cell>
          <cell r="F327" t="str">
            <v>ZALGIRIS KAUNAS</v>
          </cell>
          <cell r="G327" t="str">
            <v>PARTIZAN MOZZART BET BELGRADE</v>
          </cell>
          <cell r="H327" t="str">
            <v>Norm</v>
          </cell>
        </row>
        <row r="328">
          <cell r="A328">
            <v>326</v>
          </cell>
          <cell r="B328" t="str">
            <v>33</v>
          </cell>
          <cell r="C328">
            <v>45750</v>
          </cell>
          <cell r="D328">
            <v>0.85416666666666663</v>
          </cell>
          <cell r="E328">
            <v>0.77083333333333337</v>
          </cell>
          <cell r="F328" t="str">
            <v>MACCABI PLAYTIKA TEL AVIV</v>
          </cell>
          <cell r="G328" t="str">
            <v>FC BAYERN MUNICH</v>
          </cell>
          <cell r="H328" t="str">
            <v>Norm</v>
          </cell>
        </row>
        <row r="329">
          <cell r="A329">
            <v>327</v>
          </cell>
          <cell r="B329" t="str">
            <v>33</v>
          </cell>
          <cell r="C329">
            <v>45750</v>
          </cell>
          <cell r="D329">
            <v>0.875</v>
          </cell>
          <cell r="E329">
            <v>0.79166666666666663</v>
          </cell>
          <cell r="F329" t="str">
            <v>REAL MADRID</v>
          </cell>
          <cell r="G329" t="str">
            <v>PARIS BASKETBALL</v>
          </cell>
          <cell r="H329" t="str">
            <v>Norm</v>
          </cell>
        </row>
        <row r="330">
          <cell r="A330">
            <v>328</v>
          </cell>
          <cell r="B330" t="str">
            <v>33</v>
          </cell>
          <cell r="C330">
            <v>45751</v>
          </cell>
          <cell r="D330">
            <v>0.83333333333333337</v>
          </cell>
          <cell r="E330">
            <v>0.75</v>
          </cell>
          <cell r="F330" t="str">
            <v>ALBA BERLIN</v>
          </cell>
          <cell r="G330" t="str">
            <v>OLYMPIACOS PIRAEUS</v>
          </cell>
          <cell r="H330" t="str">
            <v>Norm+Post</v>
          </cell>
        </row>
        <row r="331">
          <cell r="A331">
            <v>329</v>
          </cell>
          <cell r="B331" t="str">
            <v>33</v>
          </cell>
          <cell r="C331">
            <v>45751</v>
          </cell>
          <cell r="D331">
            <v>0.83333333333333337</v>
          </cell>
          <cell r="E331">
            <v>0.75</v>
          </cell>
          <cell r="F331" t="str">
            <v>CRVENA ZVEZDA MERIDIANBET BELGRADE</v>
          </cell>
          <cell r="G331" t="str">
            <v>ANADOLU EFES ISTANBUL</v>
          </cell>
          <cell r="H331" t="str">
            <v>Norm</v>
          </cell>
        </row>
        <row r="332">
          <cell r="A332">
            <v>330</v>
          </cell>
          <cell r="B332" t="str">
            <v>33</v>
          </cell>
          <cell r="C332">
            <v>45751</v>
          </cell>
          <cell r="D332">
            <v>0.85416666666666663</v>
          </cell>
          <cell r="E332">
            <v>0.77083333333333337</v>
          </cell>
          <cell r="F332" t="str">
            <v>BASKONIA VITORIA-GASTEIZ</v>
          </cell>
          <cell r="G332" t="str">
            <v>LDLC ASVEL VILLEURBANNE</v>
          </cell>
          <cell r="H332" t="str">
            <v>Norm</v>
          </cell>
        </row>
        <row r="333">
          <cell r="A333">
            <v>331</v>
          </cell>
          <cell r="B333" t="str">
            <v>33</v>
          </cell>
          <cell r="C333">
            <v>45751</v>
          </cell>
          <cell r="D333">
            <v>0.85416666666666663</v>
          </cell>
          <cell r="E333">
            <v>0.77083333333333337</v>
          </cell>
          <cell r="F333" t="str">
            <v>VIRTUS SEGAFREDO BOLOGNA</v>
          </cell>
          <cell r="G333" t="str">
            <v>EA7 EMPORIO ARMANI MILAN</v>
          </cell>
          <cell r="H333" t="str">
            <v>Norm</v>
          </cell>
        </row>
        <row r="334">
          <cell r="A334">
            <v>332</v>
          </cell>
          <cell r="B334" t="str">
            <v>-</v>
          </cell>
          <cell r="C334" t="str">
            <v>-</v>
          </cell>
          <cell r="D334" t="str">
            <v>-</v>
          </cell>
          <cell r="E334" t="str">
            <v>-</v>
          </cell>
          <cell r="F334" t="str">
            <v>-</v>
          </cell>
          <cell r="G334" t="str">
            <v>-</v>
          </cell>
          <cell r="H334" t="str">
            <v>Norm</v>
          </cell>
        </row>
        <row r="335">
          <cell r="A335">
            <v>333</v>
          </cell>
          <cell r="B335" t="str">
            <v>34</v>
          </cell>
          <cell r="C335">
            <v>45757</v>
          </cell>
          <cell r="D335">
            <v>0.83333333333333337</v>
          </cell>
          <cell r="E335">
            <v>0.75</v>
          </cell>
          <cell r="F335" t="str">
            <v>LDLC ASVEL VILLEURBANNE</v>
          </cell>
          <cell r="G335" t="str">
            <v>AS MONACO</v>
          </cell>
          <cell r="H335" t="str">
            <v>Norm</v>
          </cell>
        </row>
        <row r="336">
          <cell r="A336">
            <v>334</v>
          </cell>
          <cell r="B336" t="str">
            <v>34</v>
          </cell>
          <cell r="C336">
            <v>45757</v>
          </cell>
          <cell r="D336">
            <v>0.83333333333333337</v>
          </cell>
          <cell r="E336">
            <v>0.75</v>
          </cell>
          <cell r="F336" t="str">
            <v>FC BAYERN MUNICH</v>
          </cell>
          <cell r="G336" t="str">
            <v>FENERBAHCE BEKO ISTANBUL</v>
          </cell>
          <cell r="H336" t="str">
            <v>GOW</v>
          </cell>
        </row>
        <row r="337">
          <cell r="A337">
            <v>335</v>
          </cell>
          <cell r="B337" t="str">
            <v>34</v>
          </cell>
          <cell r="C337">
            <v>45757</v>
          </cell>
          <cell r="D337">
            <v>0.88541666666666663</v>
          </cell>
          <cell r="E337">
            <v>0.76041666666666663</v>
          </cell>
          <cell r="F337" t="str">
            <v>OLYMPIACOS PIRAEUS</v>
          </cell>
          <cell r="G337" t="str">
            <v>MACCABI PLAYTIKA TEL AVIV</v>
          </cell>
          <cell r="H337" t="str">
            <v>Norm</v>
          </cell>
        </row>
        <row r="338">
          <cell r="A338">
            <v>336</v>
          </cell>
          <cell r="B338" t="str">
            <v>34</v>
          </cell>
          <cell r="C338">
            <v>45757</v>
          </cell>
          <cell r="D338">
            <v>0.85416666666666663</v>
          </cell>
          <cell r="E338">
            <v>0.77083333333333337</v>
          </cell>
          <cell r="F338" t="str">
            <v>EA7 EMPORIO ARMANI MILAN</v>
          </cell>
          <cell r="G338" t="str">
            <v>BASKONIA VITORIA-GASTEIZ</v>
          </cell>
          <cell r="H338" t="str">
            <v>Norm</v>
          </cell>
        </row>
        <row r="339">
          <cell r="A339">
            <v>337</v>
          </cell>
          <cell r="B339" t="str">
            <v>34</v>
          </cell>
          <cell r="C339">
            <v>45757</v>
          </cell>
          <cell r="D339">
            <v>0.85416666666666663</v>
          </cell>
          <cell r="E339">
            <v>0.77083333333333337</v>
          </cell>
          <cell r="F339" t="str">
            <v>PARTIZAN MOZZART BET BELGRADE</v>
          </cell>
          <cell r="G339" t="str">
            <v>REAL MADRID</v>
          </cell>
          <cell r="H339" t="str">
            <v>Norm</v>
          </cell>
        </row>
        <row r="340">
          <cell r="A340">
            <v>338</v>
          </cell>
          <cell r="B340" t="str">
            <v>34</v>
          </cell>
          <cell r="C340">
            <v>45757</v>
          </cell>
          <cell r="D340">
            <v>0.86458333333333337</v>
          </cell>
          <cell r="E340">
            <v>0.78125</v>
          </cell>
          <cell r="F340" t="str">
            <v>PARIS BASKETBALL</v>
          </cell>
          <cell r="G340" t="str">
            <v>ALBA BERLIN</v>
          </cell>
          <cell r="H340" t="str">
            <v>Norm</v>
          </cell>
        </row>
        <row r="341">
          <cell r="A341">
            <v>339</v>
          </cell>
          <cell r="B341" t="str">
            <v>34</v>
          </cell>
          <cell r="C341">
            <v>45758</v>
          </cell>
          <cell r="D341">
            <v>0.85416666666666663</v>
          </cell>
          <cell r="E341">
            <v>0.72916666666666663</v>
          </cell>
          <cell r="F341" t="str">
            <v>ANADOLU EFES ISTANBUL</v>
          </cell>
          <cell r="G341" t="str">
            <v>ZALGIRIS KAUNAS</v>
          </cell>
          <cell r="H341" t="str">
            <v>Norm</v>
          </cell>
        </row>
        <row r="342">
          <cell r="A342">
            <v>340</v>
          </cell>
          <cell r="B342" t="str">
            <v>34</v>
          </cell>
          <cell r="C342">
            <v>45758</v>
          </cell>
          <cell r="D342">
            <v>0.88541666666666663</v>
          </cell>
          <cell r="E342">
            <v>0.76041666666666663</v>
          </cell>
          <cell r="F342" t="str">
            <v>PANATHINAIKOS AKTOR ATHENS</v>
          </cell>
          <cell r="G342" t="str">
            <v>CRVENA ZVEZDA MERIDIANBET BELGRADE</v>
          </cell>
          <cell r="H342" t="str">
            <v>Norm</v>
          </cell>
        </row>
        <row r="343">
          <cell r="A343">
            <v>341</v>
          </cell>
          <cell r="B343" t="str">
            <v>34</v>
          </cell>
          <cell r="C343">
            <v>45758</v>
          </cell>
          <cell r="D343">
            <v>0.85416666666666663</v>
          </cell>
          <cell r="E343">
            <v>0.77083333333333337</v>
          </cell>
          <cell r="F343" t="str">
            <v>FC BARCELONA</v>
          </cell>
          <cell r="G343" t="str">
            <v>VIRTUS SEGAFREDO BOLOGNA</v>
          </cell>
          <cell r="H343" t="str">
            <v>Norm</v>
          </cell>
        </row>
        <row r="344">
          <cell r="A344">
            <v>342</v>
          </cell>
          <cell r="B344" t="str">
            <v>-</v>
          </cell>
          <cell r="C344" t="str">
            <v>-</v>
          </cell>
          <cell r="D344" t="str">
            <v>-</v>
          </cell>
          <cell r="E344" t="str">
            <v>-</v>
          </cell>
          <cell r="F344" t="str">
            <v>-</v>
          </cell>
          <cell r="G344" t="str">
            <v>-</v>
          </cell>
          <cell r="H344" t="str">
            <v>Norm</v>
          </cell>
        </row>
        <row r="345">
          <cell r="A345">
            <v>343</v>
          </cell>
          <cell r="B345" t="str">
            <v>PLAY-IN</v>
          </cell>
          <cell r="C345">
            <v>45762</v>
          </cell>
          <cell r="D345">
            <v>0.875</v>
          </cell>
          <cell r="E345">
            <v>0.79166666666666663</v>
          </cell>
          <cell r="F345" t="str">
            <v>REAL MADRID</v>
          </cell>
          <cell r="G345" t="str">
            <v>PARIS BASKETBALL</v>
          </cell>
          <cell r="H345" t="str">
            <v>Norm</v>
          </cell>
        </row>
        <row r="346">
          <cell r="A346">
            <v>344</v>
          </cell>
          <cell r="B346" t="str">
            <v>PLAY-IN</v>
          </cell>
          <cell r="C346">
            <v>45762</v>
          </cell>
          <cell r="D346">
            <v>0.85416666666666663</v>
          </cell>
          <cell r="E346">
            <v>0.77083333333333337</v>
          </cell>
          <cell r="F346" t="str">
            <v>FC BAYERN MUNICH</v>
          </cell>
          <cell r="G346" t="str">
            <v>CRVENA ZVEZDA MERIDIANBET BELGRADE</v>
          </cell>
          <cell r="H346" t="str">
            <v>Pre+GOW+Post</v>
          </cell>
        </row>
        <row r="347">
          <cell r="A347">
            <v>345</v>
          </cell>
          <cell r="B347" t="str">
            <v>PLAY-IN</v>
          </cell>
          <cell r="C347">
            <v>45765</v>
          </cell>
          <cell r="D347">
            <v>0.86458333333333337</v>
          </cell>
          <cell r="E347">
            <v>0.78125</v>
          </cell>
          <cell r="F347" t="str">
            <v>REAL MADRID</v>
          </cell>
          <cell r="G347" t="str">
            <v>FC BAYERN MUNICH</v>
          </cell>
          <cell r="H347" t="str">
            <v>GOW</v>
          </cell>
        </row>
        <row r="348">
          <cell r="A348">
            <v>346</v>
          </cell>
          <cell r="B348" t="str">
            <v>-</v>
          </cell>
          <cell r="C348" t="str">
            <v>-</v>
          </cell>
          <cell r="D348" t="str">
            <v>-</v>
          </cell>
          <cell r="E348" t="str">
            <v>-</v>
          </cell>
          <cell r="F348" t="str">
            <v>-</v>
          </cell>
          <cell r="G348" t="str">
            <v>-</v>
          </cell>
          <cell r="H348" t="str">
            <v>Norm</v>
          </cell>
        </row>
        <row r="349">
          <cell r="A349">
            <v>347</v>
          </cell>
          <cell r="B349" t="str">
            <v>PLAYOFF 1</v>
          </cell>
          <cell r="C349">
            <v>45769</v>
          </cell>
          <cell r="D349">
            <v>0.89583333333333337</v>
          </cell>
          <cell r="E349">
            <v>0.77083333333333337</v>
          </cell>
          <cell r="F349" t="str">
            <v>PANATHINAIKOS AKTOR ATHENS</v>
          </cell>
          <cell r="G349" t="str">
            <v>ANADOLU EFES ISTANBUL</v>
          </cell>
          <cell r="H349" t="str">
            <v>GOW</v>
          </cell>
        </row>
        <row r="350">
          <cell r="A350">
            <v>348</v>
          </cell>
          <cell r="B350" t="str">
            <v>PLAYOFF 1</v>
          </cell>
          <cell r="C350">
            <v>45769</v>
          </cell>
          <cell r="D350">
            <v>0.86458333333333337</v>
          </cell>
          <cell r="E350">
            <v>0.73958333333333337</v>
          </cell>
          <cell r="F350" t="str">
            <v>FENERBAHCE BEKO ISTANBUL</v>
          </cell>
          <cell r="G350" t="str">
            <v>PARIS BASKETBALL</v>
          </cell>
          <cell r="H350" t="str">
            <v>Norm</v>
          </cell>
        </row>
        <row r="351">
          <cell r="A351">
            <v>349</v>
          </cell>
          <cell r="B351" t="str">
            <v>PLAYOFF 1</v>
          </cell>
          <cell r="C351">
            <v>45770</v>
          </cell>
          <cell r="D351">
            <v>0.89583333333333337</v>
          </cell>
          <cell r="E351">
            <v>0.77083333333333337</v>
          </cell>
          <cell r="F351" t="str">
            <v>OLYMPIACOS PIRAEUS</v>
          </cell>
          <cell r="G351" t="str">
            <v>REAL MADRID</v>
          </cell>
          <cell r="H351" t="str">
            <v>Norm</v>
          </cell>
        </row>
        <row r="352">
          <cell r="A352">
            <v>350</v>
          </cell>
          <cell r="B352" t="str">
            <v>PLAYOFF 1</v>
          </cell>
          <cell r="C352">
            <v>45770</v>
          </cell>
          <cell r="D352">
            <v>0.79166666666666663</v>
          </cell>
          <cell r="E352">
            <v>0.70833333333333337</v>
          </cell>
          <cell r="F352" t="str">
            <v>AS MONACO</v>
          </cell>
          <cell r="G352" t="str">
            <v>FC BARCELONA</v>
          </cell>
          <cell r="H352" t="str">
            <v>Norm</v>
          </cell>
        </row>
        <row r="353">
          <cell r="A353">
            <v>351</v>
          </cell>
          <cell r="B353" t="str">
            <v>PLAYOFF 1</v>
          </cell>
          <cell r="C353">
            <v>45771</v>
          </cell>
          <cell r="D353">
            <v>0.89583333333333337</v>
          </cell>
          <cell r="E353">
            <v>0.77083333333333337</v>
          </cell>
          <cell r="F353" t="str">
            <v>PANATHINAIKOS AKTOR ATHENS</v>
          </cell>
          <cell r="G353" t="str">
            <v>ANADOLU EFES ISTANBUL</v>
          </cell>
          <cell r="H353" t="str">
            <v>Norm</v>
          </cell>
        </row>
        <row r="354">
          <cell r="A354">
            <v>352</v>
          </cell>
          <cell r="B354" t="str">
            <v>PLAYOFF 1</v>
          </cell>
          <cell r="C354">
            <v>45771</v>
          </cell>
          <cell r="D354">
            <v>0.86458333333333337</v>
          </cell>
          <cell r="E354">
            <v>0.73958333333333337</v>
          </cell>
          <cell r="F354" t="str">
            <v>FENERBAHCE BEKO ISTANBUL</v>
          </cell>
          <cell r="G354" t="str">
            <v>PARIS BASKETBALL</v>
          </cell>
          <cell r="H354" t="str">
            <v>GOW</v>
          </cell>
        </row>
        <row r="355">
          <cell r="A355">
            <v>353</v>
          </cell>
          <cell r="B355" t="str">
            <v>PLAYOFF 1</v>
          </cell>
          <cell r="C355">
            <v>45772</v>
          </cell>
          <cell r="D355">
            <v>0.89583333333333337</v>
          </cell>
          <cell r="E355">
            <v>0.77083333333333337</v>
          </cell>
          <cell r="F355" t="str">
            <v>OLYMPIACOS PIRAEUS</v>
          </cell>
          <cell r="G355" t="str">
            <v>REAL MADRID</v>
          </cell>
          <cell r="H355" t="str">
            <v>Norm</v>
          </cell>
        </row>
        <row r="356">
          <cell r="A356">
            <v>354</v>
          </cell>
          <cell r="B356" t="str">
            <v>PLAYOFF 1</v>
          </cell>
          <cell r="C356">
            <v>45772</v>
          </cell>
          <cell r="D356">
            <v>0.79166666666666663</v>
          </cell>
          <cell r="E356">
            <v>0.70833333333333337</v>
          </cell>
          <cell r="F356" t="str">
            <v>AS MONACO</v>
          </cell>
          <cell r="G356" t="str">
            <v>FC BARCELONA</v>
          </cell>
          <cell r="H356" t="str">
            <v>Norm</v>
          </cell>
        </row>
        <row r="357">
          <cell r="A357">
            <v>355</v>
          </cell>
          <cell r="B357" t="str">
            <v>-</v>
          </cell>
          <cell r="C357" t="str">
            <v>-</v>
          </cell>
          <cell r="D357" t="str">
            <v>-</v>
          </cell>
          <cell r="E357" t="str">
            <v>-</v>
          </cell>
          <cell r="F357" t="str">
            <v>-</v>
          </cell>
          <cell r="G357" t="str">
            <v>-</v>
          </cell>
          <cell r="H357" t="str">
            <v/>
          </cell>
        </row>
        <row r="358">
          <cell r="A358">
            <v>356</v>
          </cell>
          <cell r="B358" t="str">
            <v>PLAYOFF 2</v>
          </cell>
          <cell r="C358">
            <v>45776</v>
          </cell>
          <cell r="D358">
            <v>0.875</v>
          </cell>
          <cell r="E358">
            <v>0.79166666666666663</v>
          </cell>
          <cell r="F358" t="str">
            <v>REAL MADRID</v>
          </cell>
          <cell r="G358" t="str">
            <v>OLYMPIACOS PIRAEUS</v>
          </cell>
          <cell r="H358" t="str">
            <v>Norm+Post</v>
          </cell>
        </row>
        <row r="359">
          <cell r="A359">
            <v>357</v>
          </cell>
          <cell r="B359" t="str">
            <v>PLAYOFF 2</v>
          </cell>
          <cell r="C359">
            <v>45776</v>
          </cell>
          <cell r="D359">
            <v>0.85416666666666663</v>
          </cell>
          <cell r="E359">
            <v>0.77083333333333337</v>
          </cell>
          <cell r="F359" t="str">
            <v>PARIS BASKETBALL</v>
          </cell>
          <cell r="G359" t="str">
            <v>FENERBAHCE BEKO ISTANBUL</v>
          </cell>
          <cell r="H359" t="str">
            <v>Norm</v>
          </cell>
        </row>
        <row r="360">
          <cell r="A360">
            <v>358</v>
          </cell>
          <cell r="B360" t="str">
            <v>PLAYOFF 2</v>
          </cell>
          <cell r="C360">
            <v>45777</v>
          </cell>
          <cell r="D360">
            <v>0.79166666666666663</v>
          </cell>
          <cell r="E360">
            <v>0.70833333333333337</v>
          </cell>
          <cell r="F360" t="str">
            <v>FC BARCELONA</v>
          </cell>
          <cell r="G360" t="str">
            <v>AS MONACO</v>
          </cell>
          <cell r="H360" t="str">
            <v>GOW</v>
          </cell>
        </row>
        <row r="361">
          <cell r="A361">
            <v>359</v>
          </cell>
          <cell r="B361" t="str">
            <v>PLAYOFF 2</v>
          </cell>
          <cell r="C361">
            <v>45777</v>
          </cell>
          <cell r="D361">
            <v>0.86458333333333337</v>
          </cell>
          <cell r="E361">
            <v>0.73958333333333337</v>
          </cell>
          <cell r="F361" t="str">
            <v>ANADOLU EFES ISTANBUL</v>
          </cell>
          <cell r="G361" t="str">
            <v>PANATHINAIKOS AKTOR ATHENS</v>
          </cell>
          <cell r="H361" t="str">
            <v>Norm+Post</v>
          </cell>
        </row>
        <row r="362">
          <cell r="A362">
            <v>360</v>
          </cell>
          <cell r="B362" t="str">
            <v>PLAYOFF 2</v>
          </cell>
          <cell r="C362">
            <v>45778</v>
          </cell>
          <cell r="D362">
            <v>0.875</v>
          </cell>
          <cell r="E362">
            <v>0.79166666666666663</v>
          </cell>
          <cell r="F362" t="str">
            <v>REAL MADRID</v>
          </cell>
          <cell r="G362" t="str">
            <v>OLYMPIACOS PIRAEUS</v>
          </cell>
          <cell r="H362" t="str">
            <v>Norm</v>
          </cell>
        </row>
        <row r="363">
          <cell r="A363">
            <v>361</v>
          </cell>
          <cell r="B363" t="str">
            <v>PLAYOFF 2</v>
          </cell>
          <cell r="C363">
            <v>45778</v>
          </cell>
          <cell r="D363">
            <v>0.85416666666666663</v>
          </cell>
          <cell r="E363">
            <v>0.77083333333333337</v>
          </cell>
          <cell r="F363" t="str">
            <v>PARIS BASKETBALL - TBD</v>
          </cell>
          <cell r="G363" t="str">
            <v>FENERBAHCE BEKO ISTANBUL - TBD</v>
          </cell>
          <cell r="H363" t="str">
            <v>Norm</v>
          </cell>
        </row>
        <row r="364">
          <cell r="A364">
            <v>362</v>
          </cell>
          <cell r="B364" t="str">
            <v>PLAYOFF 2</v>
          </cell>
          <cell r="C364">
            <v>45779</v>
          </cell>
          <cell r="D364">
            <v>0.85416666666666663</v>
          </cell>
          <cell r="E364">
            <v>0.72916666666666663</v>
          </cell>
          <cell r="F364" t="str">
            <v xml:space="preserve">ANADOLU EFES ISTANBUL </v>
          </cell>
          <cell r="G364" t="str">
            <v>PANATHINAIKOS AKTOR ATHENS</v>
          </cell>
          <cell r="H364" t="str">
            <v>Norm+Post</v>
          </cell>
        </row>
        <row r="365">
          <cell r="A365">
            <v>363</v>
          </cell>
          <cell r="B365" t="str">
            <v>PLAYOFF 2</v>
          </cell>
          <cell r="C365">
            <v>45779</v>
          </cell>
          <cell r="D365">
            <v>0.86458333333333337</v>
          </cell>
          <cell r="E365">
            <v>0.78125</v>
          </cell>
          <cell r="F365" t="str">
            <v>FC BARCELONA</v>
          </cell>
          <cell r="G365" t="str">
            <v>AS MONACO</v>
          </cell>
          <cell r="H365" t="str">
            <v>Norm</v>
          </cell>
        </row>
        <row r="366">
          <cell r="A366">
            <v>364</v>
          </cell>
          <cell r="B366" t="str">
            <v>-</v>
          </cell>
          <cell r="C366" t="str">
            <v>-</v>
          </cell>
          <cell r="D366" t="str">
            <v>-</v>
          </cell>
          <cell r="E366" t="str">
            <v>-</v>
          </cell>
          <cell r="F366" t="str">
            <v>-</v>
          </cell>
          <cell r="G366" t="str">
            <v>-</v>
          </cell>
          <cell r="H366" t="str">
            <v/>
          </cell>
        </row>
        <row r="367">
          <cell r="A367">
            <v>365</v>
          </cell>
          <cell r="B367" t="str">
            <v>PLAYOFF 3</v>
          </cell>
          <cell r="C367">
            <v>45783</v>
          </cell>
          <cell r="D367">
            <v>0.79166666666666663</v>
          </cell>
          <cell r="E367">
            <v>0.70833333333333337</v>
          </cell>
          <cell r="F367" t="str">
            <v>AS MONACO</v>
          </cell>
          <cell r="G367" t="str">
            <v>FC BARCELONA</v>
          </cell>
          <cell r="H367" t="str">
            <v>Norm</v>
          </cell>
        </row>
        <row r="368">
          <cell r="A368">
            <v>366</v>
          </cell>
          <cell r="B368" t="str">
            <v>PLAYOFF 3</v>
          </cell>
          <cell r="C368">
            <v>45783</v>
          </cell>
          <cell r="D368">
            <v>0.90625</v>
          </cell>
          <cell r="E368">
            <v>0.78125</v>
          </cell>
          <cell r="F368" t="str">
            <v>PANATHINAIKOS AKTOR ATHENS</v>
          </cell>
          <cell r="G368" t="str">
            <v>ANADOLU EFES ISTANBUL</v>
          </cell>
          <cell r="H368" t="str">
            <v>GOW</v>
          </cell>
        </row>
        <row r="369">
          <cell r="A369">
            <v>367</v>
          </cell>
          <cell r="B369" t="str">
            <v>-</v>
          </cell>
          <cell r="C369" t="str">
            <v>-</v>
          </cell>
          <cell r="D369" t="str">
            <v>-</v>
          </cell>
          <cell r="E369" t="str">
            <v>-</v>
          </cell>
          <cell r="F369" t="str">
            <v>-</v>
          </cell>
          <cell r="G369" t="str">
            <v>-</v>
          </cell>
          <cell r="H369" t="str">
            <v/>
          </cell>
        </row>
        <row r="370">
          <cell r="A370">
            <v>368</v>
          </cell>
          <cell r="B370" t="str">
            <v>ANGT TOURNAMENT</v>
          </cell>
          <cell r="C370">
            <v>45799</v>
          </cell>
          <cell r="D370">
            <v>0.41666666666666669</v>
          </cell>
          <cell r="E370">
            <v>0.25</v>
          </cell>
          <cell r="F370" t="str">
            <v>ANGE TOURNAMENT</v>
          </cell>
          <cell r="G370" t="str">
            <v>ANGE TOURNAMENT</v>
          </cell>
          <cell r="H370" t="str">
            <v>Norm</v>
          </cell>
        </row>
        <row r="371">
          <cell r="A371">
            <v>369</v>
          </cell>
          <cell r="B371" t="str">
            <v>ANGT TOURNAMENT</v>
          </cell>
          <cell r="C371">
            <v>45800</v>
          </cell>
          <cell r="D371">
            <v>0.41666666666666669</v>
          </cell>
          <cell r="E371">
            <v>0.25</v>
          </cell>
          <cell r="F371" t="str">
            <v>ANGE TOURNAMENT</v>
          </cell>
          <cell r="G371" t="str">
            <v>ANGE TOURNAMENT</v>
          </cell>
          <cell r="H371" t="str">
            <v>Norm</v>
          </cell>
        </row>
        <row r="372">
          <cell r="A372">
            <v>370</v>
          </cell>
          <cell r="B372" t="str">
            <v>ANGT TOURNAMENT</v>
          </cell>
          <cell r="C372">
            <v>45801</v>
          </cell>
          <cell r="D372">
            <v>0.41666666666666669</v>
          </cell>
          <cell r="E372">
            <v>0.25</v>
          </cell>
          <cell r="F372" t="str">
            <v>ANGE TOURNAMENT</v>
          </cell>
          <cell r="G372" t="str">
            <v>ANGE TOURNAMENT</v>
          </cell>
          <cell r="H372" t="str">
            <v>Norm</v>
          </cell>
        </row>
        <row r="373">
          <cell r="A373">
            <v>371</v>
          </cell>
          <cell r="B373" t="str">
            <v>ANGT TOURNAMENT</v>
          </cell>
          <cell r="C373">
            <v>45802</v>
          </cell>
          <cell r="D373">
            <v>0.5625</v>
          </cell>
          <cell r="E373">
            <v>0.39583333333333331</v>
          </cell>
          <cell r="F373" t="str">
            <v>ANGE TOURNAMENT FINAL</v>
          </cell>
          <cell r="G373" t="str">
            <v>ANGE TOURNAMENT FINAL</v>
          </cell>
          <cell r="H373" t="str">
            <v>Norm</v>
          </cell>
        </row>
        <row r="374">
          <cell r="A374">
            <v>372</v>
          </cell>
          <cell r="B374" t="str">
            <v>-</v>
          </cell>
          <cell r="C374" t="str">
            <v>-</v>
          </cell>
          <cell r="D374" t="str">
            <v>-</v>
          </cell>
          <cell r="E374" t="str">
            <v>-</v>
          </cell>
          <cell r="F374" t="str">
            <v>-</v>
          </cell>
          <cell r="G374" t="str">
            <v>-</v>
          </cell>
          <cell r="H374" t="str">
            <v/>
          </cell>
        </row>
        <row r="375">
          <cell r="A375">
            <v>373</v>
          </cell>
          <cell r="B375" t="str">
            <v>FINAL FOUR 1</v>
          </cell>
          <cell r="C375">
            <v>45799</v>
          </cell>
          <cell r="D375">
            <v>0.47916666666666669</v>
          </cell>
          <cell r="E375">
            <v>0.3125</v>
          </cell>
          <cell r="F375" t="str">
            <v>TIP OFF EVENT</v>
          </cell>
          <cell r="G375" t="str">
            <v>OPENING PRESS CONFERENCE</v>
          </cell>
          <cell r="H375" t="str">
            <v>Norm</v>
          </cell>
        </row>
        <row r="376">
          <cell r="A376">
            <v>374</v>
          </cell>
          <cell r="B376" t="str">
            <v>-</v>
          </cell>
          <cell r="C376" t="str">
            <v>-</v>
          </cell>
          <cell r="D376" t="str">
            <v>-</v>
          </cell>
          <cell r="E376" t="str">
            <v>-</v>
          </cell>
          <cell r="F376" t="str">
            <v>-</v>
          </cell>
          <cell r="G376" t="str">
            <v>-</v>
          </cell>
          <cell r="H376" t="str">
            <v/>
          </cell>
        </row>
        <row r="377">
          <cell r="A377">
            <v>375</v>
          </cell>
          <cell r="B377" t="str">
            <v>FINAL FOUR 2</v>
          </cell>
          <cell r="C377">
            <v>45800</v>
          </cell>
          <cell r="D377">
            <v>0.79166666666666663</v>
          </cell>
          <cell r="E377">
            <v>0.625</v>
          </cell>
          <cell r="F377" t="str">
            <v>FENERBAHCE BEKO ISTANBUL</v>
          </cell>
          <cell r="G377" t="str">
            <v>PANATHINAIKOS AKTOR ATHENS</v>
          </cell>
          <cell r="H377" t="str">
            <v>Norm</v>
          </cell>
        </row>
        <row r="378">
          <cell r="A378">
            <v>376</v>
          </cell>
          <cell r="B378" t="str">
            <v>FINAL FOUR 2</v>
          </cell>
          <cell r="C378">
            <v>45800</v>
          </cell>
          <cell r="D378">
            <v>0.91666666666666663</v>
          </cell>
          <cell r="E378">
            <v>0.75</v>
          </cell>
          <cell r="F378" t="str">
            <v>OLYMPIACOS PIRAEUS</v>
          </cell>
          <cell r="G378" t="str">
            <v>AS MONACO</v>
          </cell>
          <cell r="H378" t="str">
            <v>Norm</v>
          </cell>
        </row>
        <row r="379">
          <cell r="A379">
            <v>377</v>
          </cell>
          <cell r="B379" t="str">
            <v>-</v>
          </cell>
          <cell r="C379" t="str">
            <v>-</v>
          </cell>
          <cell r="D379" t="str">
            <v>-</v>
          </cell>
          <cell r="E379" t="str">
            <v>-</v>
          </cell>
          <cell r="F379" t="str">
            <v>-</v>
          </cell>
          <cell r="G379" t="str">
            <v>-</v>
          </cell>
          <cell r="H379" t="str">
            <v/>
          </cell>
        </row>
        <row r="380">
          <cell r="A380">
            <v>378</v>
          </cell>
          <cell r="B380" t="str">
            <v>FINAL FOUR 3</v>
          </cell>
          <cell r="C380">
            <v>45801</v>
          </cell>
          <cell r="D380">
            <v>0.54166666666666663</v>
          </cell>
          <cell r="E380">
            <v>0.375</v>
          </cell>
          <cell r="F380" t="str">
            <v>CHAMPIONSHIP GAME</v>
          </cell>
          <cell r="G380" t="str">
            <v>PRESS CONFERENCE</v>
          </cell>
          <cell r="H380" t="str">
            <v>Norm</v>
          </cell>
        </row>
        <row r="381">
          <cell r="A381">
            <v>379</v>
          </cell>
          <cell r="B381" t="str">
            <v>-</v>
          </cell>
          <cell r="C381" t="str">
            <v>-</v>
          </cell>
          <cell r="D381" t="str">
            <v>-</v>
          </cell>
          <cell r="E381" t="str">
            <v>-</v>
          </cell>
          <cell r="F381" t="str">
            <v>-</v>
          </cell>
          <cell r="G381" t="str">
            <v>-</v>
          </cell>
          <cell r="H381" t="str">
            <v/>
          </cell>
        </row>
        <row r="382">
          <cell r="A382">
            <v>380</v>
          </cell>
          <cell r="B382" t="str">
            <v>FINAL FOUR 4</v>
          </cell>
          <cell r="C382">
            <v>45802</v>
          </cell>
          <cell r="D382">
            <v>0.75</v>
          </cell>
          <cell r="E382">
            <v>0.58333333333333337</v>
          </cell>
          <cell r="F382" t="str">
            <v>THIRD PLACE GAME</v>
          </cell>
          <cell r="G382" t="str">
            <v>THIRD PLACE GAME</v>
          </cell>
          <cell r="H382" t="str">
            <v>Norm</v>
          </cell>
        </row>
        <row r="383">
          <cell r="A383">
            <v>381</v>
          </cell>
          <cell r="B383" t="str">
            <v>FINAL FOUR 4</v>
          </cell>
          <cell r="C383">
            <v>45802</v>
          </cell>
          <cell r="D383">
            <v>0.875</v>
          </cell>
          <cell r="E383">
            <v>0.70833333333333337</v>
          </cell>
          <cell r="F383" t="str">
            <v>FINAL</v>
          </cell>
          <cell r="G383" t="str">
            <v>FINAL</v>
          </cell>
          <cell r="H383" t="str">
            <v>Norm</v>
          </cell>
        </row>
        <row r="384">
          <cell r="A384">
            <v>382</v>
          </cell>
          <cell r="B384" t="str">
            <v/>
          </cell>
          <cell r="C384" t="str">
            <v/>
          </cell>
          <cell r="D384" t="str">
            <v/>
          </cell>
          <cell r="E384" t="str">
            <v/>
          </cell>
          <cell r="F384" t="str">
            <v/>
          </cell>
          <cell r="G384" t="str">
            <v/>
          </cell>
          <cell r="H384" t="str">
            <v/>
          </cell>
        </row>
        <row r="385">
          <cell r="A385">
            <v>383</v>
          </cell>
          <cell r="B385" t="str">
            <v/>
          </cell>
          <cell r="C385" t="str">
            <v/>
          </cell>
          <cell r="D385" t="str">
            <v/>
          </cell>
          <cell r="E385" t="str">
            <v/>
          </cell>
          <cell r="F385" t="str">
            <v/>
          </cell>
          <cell r="G385" t="str">
            <v/>
          </cell>
          <cell r="H385" t="str">
            <v/>
          </cell>
        </row>
        <row r="386">
          <cell r="A386">
            <v>384</v>
          </cell>
          <cell r="B386" t="str">
            <v/>
          </cell>
          <cell r="C386" t="str">
            <v/>
          </cell>
          <cell r="D386" t="str">
            <v/>
          </cell>
          <cell r="E386" t="str">
            <v/>
          </cell>
          <cell r="F386" t="str">
            <v/>
          </cell>
          <cell r="G386" t="str">
            <v/>
          </cell>
          <cell r="H386" t="str">
            <v/>
          </cell>
        </row>
        <row r="387">
          <cell r="A387">
            <v>385</v>
          </cell>
          <cell r="B387" t="str">
            <v/>
          </cell>
          <cell r="C387" t="str">
            <v/>
          </cell>
          <cell r="D387" t="str">
            <v/>
          </cell>
          <cell r="E387" t="str">
            <v/>
          </cell>
          <cell r="F387" t="str">
            <v/>
          </cell>
          <cell r="G387" t="str">
            <v/>
          </cell>
          <cell r="H387" t="str">
            <v/>
          </cell>
        </row>
        <row r="388">
          <cell r="A388">
            <v>386</v>
          </cell>
          <cell r="B388" t="str">
            <v/>
          </cell>
          <cell r="C388" t="str">
            <v/>
          </cell>
          <cell r="D388" t="str">
            <v/>
          </cell>
          <cell r="E388" t="str">
            <v/>
          </cell>
          <cell r="F388" t="str">
            <v/>
          </cell>
          <cell r="G388" t="str">
            <v/>
          </cell>
          <cell r="H388" t="str">
            <v/>
          </cell>
        </row>
        <row r="389">
          <cell r="A389">
            <v>387</v>
          </cell>
          <cell r="B389" t="str">
            <v/>
          </cell>
          <cell r="C389" t="str">
            <v/>
          </cell>
          <cell r="D389" t="str">
            <v/>
          </cell>
          <cell r="E389" t="str">
            <v/>
          </cell>
          <cell r="F389" t="str">
            <v/>
          </cell>
          <cell r="G389" t="str">
            <v/>
          </cell>
          <cell r="H389" t="str">
            <v/>
          </cell>
        </row>
        <row r="390">
          <cell r="A390">
            <v>388</v>
          </cell>
          <cell r="B390" t="str">
            <v/>
          </cell>
          <cell r="C390" t="str">
            <v/>
          </cell>
          <cell r="D390" t="str">
            <v/>
          </cell>
          <cell r="E390" t="str">
            <v/>
          </cell>
          <cell r="F390" t="str">
            <v/>
          </cell>
          <cell r="G390" t="str">
            <v/>
          </cell>
          <cell r="H390" t="str">
            <v/>
          </cell>
        </row>
        <row r="391">
          <cell r="A391">
            <v>389</v>
          </cell>
          <cell r="B391" t="str">
            <v/>
          </cell>
          <cell r="C391" t="str">
            <v/>
          </cell>
          <cell r="D391" t="str">
            <v/>
          </cell>
          <cell r="E391" t="str">
            <v/>
          </cell>
          <cell r="F391" t="str">
            <v/>
          </cell>
          <cell r="G391" t="str">
            <v/>
          </cell>
          <cell r="H391" t="str">
            <v/>
          </cell>
        </row>
        <row r="392">
          <cell r="A392">
            <v>390</v>
          </cell>
          <cell r="B392" t="str">
            <v/>
          </cell>
          <cell r="C392" t="str">
            <v/>
          </cell>
          <cell r="D392" t="str">
            <v/>
          </cell>
          <cell r="E392" t="str">
            <v/>
          </cell>
          <cell r="F392" t="str">
            <v/>
          </cell>
          <cell r="G392" t="str">
            <v/>
          </cell>
          <cell r="H392" t="str">
            <v/>
          </cell>
        </row>
        <row r="393">
          <cell r="A393">
            <v>391</v>
          </cell>
          <cell r="B393" t="str">
            <v/>
          </cell>
          <cell r="C393" t="str">
            <v/>
          </cell>
          <cell r="D393" t="str">
            <v/>
          </cell>
          <cell r="E393" t="str">
            <v/>
          </cell>
          <cell r="F393" t="str">
            <v/>
          </cell>
          <cell r="G393" t="str">
            <v/>
          </cell>
          <cell r="H393" t="str">
            <v/>
          </cell>
        </row>
        <row r="394">
          <cell r="A394">
            <v>392</v>
          </cell>
          <cell r="B394" t="str">
            <v/>
          </cell>
          <cell r="C394" t="str">
            <v/>
          </cell>
          <cell r="D394" t="str">
            <v/>
          </cell>
          <cell r="E394" t="str">
            <v/>
          </cell>
          <cell r="F394" t="str">
            <v/>
          </cell>
          <cell r="G394" t="str">
            <v/>
          </cell>
          <cell r="H394" t="str">
            <v/>
          </cell>
        </row>
        <row r="395">
          <cell r="A395">
            <v>393</v>
          </cell>
          <cell r="B395" t="str">
            <v/>
          </cell>
          <cell r="C395" t="str">
            <v/>
          </cell>
          <cell r="D395" t="str">
            <v/>
          </cell>
          <cell r="E395" t="str">
            <v/>
          </cell>
          <cell r="F395" t="str">
            <v/>
          </cell>
          <cell r="G395" t="str">
            <v/>
          </cell>
          <cell r="H395" t="str">
            <v/>
          </cell>
        </row>
        <row r="396">
          <cell r="A396">
            <v>394</v>
          </cell>
          <cell r="B396" t="str">
            <v/>
          </cell>
          <cell r="C396" t="str">
            <v/>
          </cell>
          <cell r="D396" t="str">
            <v/>
          </cell>
          <cell r="E396" t="str">
            <v/>
          </cell>
          <cell r="F396" t="str">
            <v/>
          </cell>
          <cell r="G396" t="str">
            <v/>
          </cell>
          <cell r="H396" t="str">
            <v/>
          </cell>
        </row>
        <row r="397">
          <cell r="A397">
            <v>395</v>
          </cell>
          <cell r="B397" t="str">
            <v/>
          </cell>
          <cell r="C397" t="str">
            <v/>
          </cell>
          <cell r="D397" t="str">
            <v/>
          </cell>
          <cell r="E397" t="str">
            <v/>
          </cell>
          <cell r="F397" t="str">
            <v/>
          </cell>
          <cell r="G397" t="str">
            <v/>
          </cell>
          <cell r="H397" t="str">
            <v/>
          </cell>
        </row>
        <row r="398">
          <cell r="A398">
            <v>396</v>
          </cell>
          <cell r="B398" t="str">
            <v/>
          </cell>
          <cell r="C398" t="str">
            <v/>
          </cell>
          <cell r="D398" t="str">
            <v/>
          </cell>
          <cell r="E398" t="str">
            <v/>
          </cell>
          <cell r="F398" t="str">
            <v/>
          </cell>
          <cell r="G398" t="str">
            <v/>
          </cell>
          <cell r="H398" t="str">
            <v/>
          </cell>
        </row>
        <row r="399">
          <cell r="A399">
            <v>397</v>
          </cell>
          <cell r="B399" t="str">
            <v/>
          </cell>
          <cell r="C399" t="str">
            <v/>
          </cell>
          <cell r="D399" t="str">
            <v/>
          </cell>
          <cell r="E399" t="str">
            <v/>
          </cell>
          <cell r="F399" t="str">
            <v/>
          </cell>
          <cell r="G399" t="str">
            <v/>
          </cell>
          <cell r="H399" t="str">
            <v/>
          </cell>
        </row>
        <row r="400">
          <cell r="A400">
            <v>398</v>
          </cell>
          <cell r="B400" t="str">
            <v/>
          </cell>
          <cell r="C400" t="str">
            <v/>
          </cell>
          <cell r="D400" t="str">
            <v/>
          </cell>
          <cell r="E400" t="str">
            <v/>
          </cell>
          <cell r="F400" t="str">
            <v/>
          </cell>
          <cell r="G400" t="str">
            <v/>
          </cell>
          <cell r="H400" t="str">
            <v/>
          </cell>
        </row>
        <row r="401">
          <cell r="A401">
            <v>399</v>
          </cell>
          <cell r="B401" t="str">
            <v/>
          </cell>
          <cell r="C401" t="str">
            <v/>
          </cell>
          <cell r="D401" t="str">
            <v/>
          </cell>
          <cell r="E401" t="str">
            <v/>
          </cell>
          <cell r="F401" t="str">
            <v/>
          </cell>
          <cell r="G401" t="str">
            <v/>
          </cell>
          <cell r="H401" t="str">
            <v/>
          </cell>
        </row>
        <row r="402">
          <cell r="A402">
            <v>400</v>
          </cell>
          <cell r="B402" t="str">
            <v/>
          </cell>
          <cell r="C402" t="str">
            <v/>
          </cell>
          <cell r="D402" t="str">
            <v/>
          </cell>
          <cell r="E402" t="str">
            <v/>
          </cell>
          <cell r="F402" t="str">
            <v/>
          </cell>
          <cell r="G402" t="str">
            <v/>
          </cell>
          <cell r="H402" t="str">
            <v/>
          </cell>
        </row>
        <row r="403">
          <cell r="A403">
            <v>401</v>
          </cell>
          <cell r="B403" t="str">
            <v/>
          </cell>
          <cell r="C403" t="str">
            <v/>
          </cell>
          <cell r="D403" t="str">
            <v/>
          </cell>
          <cell r="E403" t="str">
            <v/>
          </cell>
          <cell r="F403" t="str">
            <v/>
          </cell>
          <cell r="G403" t="str">
            <v/>
          </cell>
          <cell r="H403" t="str">
            <v/>
          </cell>
        </row>
        <row r="404">
          <cell r="A404">
            <v>402</v>
          </cell>
          <cell r="B404" t="str">
            <v/>
          </cell>
          <cell r="C404" t="str">
            <v/>
          </cell>
          <cell r="D404" t="str">
            <v/>
          </cell>
          <cell r="E404" t="str">
            <v/>
          </cell>
          <cell r="F404" t="str">
            <v/>
          </cell>
          <cell r="G404" t="str">
            <v/>
          </cell>
          <cell r="H404" t="str">
            <v/>
          </cell>
        </row>
        <row r="405">
          <cell r="A405">
            <v>403</v>
          </cell>
          <cell r="B405" t="str">
            <v/>
          </cell>
          <cell r="C405" t="str">
            <v/>
          </cell>
          <cell r="D405" t="str">
            <v/>
          </cell>
          <cell r="E405" t="str">
            <v/>
          </cell>
          <cell r="F405" t="str">
            <v/>
          </cell>
          <cell r="G405" t="str">
            <v/>
          </cell>
          <cell r="H405" t="str">
            <v/>
          </cell>
        </row>
        <row r="406">
          <cell r="A406">
            <v>404</v>
          </cell>
          <cell r="B406" t="str">
            <v/>
          </cell>
          <cell r="C406" t="str">
            <v/>
          </cell>
          <cell r="D406" t="str">
            <v/>
          </cell>
          <cell r="E406" t="str">
            <v/>
          </cell>
          <cell r="F406" t="str">
            <v/>
          </cell>
          <cell r="G406" t="str">
            <v/>
          </cell>
          <cell r="H406" t="str">
            <v/>
          </cell>
        </row>
        <row r="407">
          <cell r="A407">
            <v>405</v>
          </cell>
          <cell r="B407" t="str">
            <v/>
          </cell>
          <cell r="C407" t="str">
            <v/>
          </cell>
          <cell r="D407" t="str">
            <v/>
          </cell>
          <cell r="E407" t="str">
            <v/>
          </cell>
          <cell r="F407" t="str">
            <v/>
          </cell>
          <cell r="G407" t="str">
            <v/>
          </cell>
          <cell r="H407" t="str">
            <v/>
          </cell>
        </row>
        <row r="408">
          <cell r="A408">
            <v>406</v>
          </cell>
          <cell r="B408" t="str">
            <v/>
          </cell>
          <cell r="C408" t="str">
            <v/>
          </cell>
          <cell r="D408" t="str">
            <v/>
          </cell>
          <cell r="E408" t="str">
            <v/>
          </cell>
          <cell r="F408" t="str">
            <v/>
          </cell>
          <cell r="G408" t="str">
            <v/>
          </cell>
          <cell r="H408" t="str">
            <v/>
          </cell>
        </row>
        <row r="409">
          <cell r="A409">
            <v>407</v>
          </cell>
          <cell r="B409" t="str">
            <v/>
          </cell>
          <cell r="C409" t="str">
            <v/>
          </cell>
          <cell r="D409" t="str">
            <v/>
          </cell>
          <cell r="E409" t="str">
            <v/>
          </cell>
          <cell r="F409" t="str">
            <v/>
          </cell>
          <cell r="G409" t="str">
            <v/>
          </cell>
          <cell r="H409" t="str">
            <v/>
          </cell>
        </row>
        <row r="410">
          <cell r="A410">
            <v>408</v>
          </cell>
          <cell r="B410" t="str">
            <v/>
          </cell>
          <cell r="C410" t="str">
            <v/>
          </cell>
          <cell r="D410" t="str">
            <v/>
          </cell>
          <cell r="E410" t="str">
            <v/>
          </cell>
          <cell r="F410" t="str">
            <v/>
          </cell>
          <cell r="G410" t="str">
            <v/>
          </cell>
          <cell r="H410" t="str">
            <v/>
          </cell>
        </row>
        <row r="411">
          <cell r="A411">
            <v>409</v>
          </cell>
          <cell r="B411" t="str">
            <v/>
          </cell>
          <cell r="C411" t="str">
            <v/>
          </cell>
          <cell r="D411" t="str">
            <v/>
          </cell>
          <cell r="E411" t="str">
            <v/>
          </cell>
          <cell r="F411" t="str">
            <v/>
          </cell>
          <cell r="G411" t="str">
            <v/>
          </cell>
          <cell r="H411" t="str">
            <v/>
          </cell>
        </row>
        <row r="412">
          <cell r="A412">
            <v>410</v>
          </cell>
          <cell r="B412" t="str">
            <v/>
          </cell>
          <cell r="C412" t="str">
            <v/>
          </cell>
          <cell r="D412" t="str">
            <v/>
          </cell>
          <cell r="E412" t="str">
            <v/>
          </cell>
          <cell r="F412" t="str">
            <v/>
          </cell>
          <cell r="G412" t="str">
            <v/>
          </cell>
          <cell r="H412" t="str">
            <v/>
          </cell>
        </row>
        <row r="413">
          <cell r="A413">
            <v>411</v>
          </cell>
          <cell r="B413" t="str">
            <v/>
          </cell>
          <cell r="C413" t="str">
            <v/>
          </cell>
          <cell r="D413" t="str">
            <v/>
          </cell>
          <cell r="E413" t="str">
            <v/>
          </cell>
          <cell r="F413" t="str">
            <v/>
          </cell>
          <cell r="G413" t="str">
            <v/>
          </cell>
          <cell r="H413" t="str">
            <v/>
          </cell>
        </row>
        <row r="414">
          <cell r="A414">
            <v>412</v>
          </cell>
          <cell r="B414" t="str">
            <v/>
          </cell>
          <cell r="C414" t="str">
            <v/>
          </cell>
          <cell r="D414" t="str">
            <v/>
          </cell>
          <cell r="E414" t="str">
            <v/>
          </cell>
          <cell r="F414" t="str">
            <v/>
          </cell>
          <cell r="G414" t="str">
            <v/>
          </cell>
          <cell r="H414" t="str">
            <v/>
          </cell>
        </row>
        <row r="415">
          <cell r="A415">
            <v>413</v>
          </cell>
          <cell r="B415" t="str">
            <v/>
          </cell>
          <cell r="C415" t="str">
            <v/>
          </cell>
          <cell r="D415" t="str">
            <v/>
          </cell>
          <cell r="E415" t="str">
            <v/>
          </cell>
          <cell r="F415" t="str">
            <v/>
          </cell>
          <cell r="G415" t="str">
            <v/>
          </cell>
          <cell r="H415" t="str">
            <v/>
          </cell>
        </row>
        <row r="416">
          <cell r="A416">
            <v>414</v>
          </cell>
          <cell r="B416" t="str">
            <v/>
          </cell>
          <cell r="C416" t="str">
            <v/>
          </cell>
          <cell r="D416" t="str">
            <v/>
          </cell>
          <cell r="E416" t="str">
            <v/>
          </cell>
          <cell r="F416" t="str">
            <v/>
          </cell>
          <cell r="G416" t="str">
            <v/>
          </cell>
          <cell r="H416" t="str">
            <v/>
          </cell>
        </row>
        <row r="417">
          <cell r="A417">
            <v>415</v>
          </cell>
          <cell r="B417" t="str">
            <v/>
          </cell>
          <cell r="C417" t="str">
            <v/>
          </cell>
          <cell r="D417" t="str">
            <v/>
          </cell>
          <cell r="E417" t="str">
            <v/>
          </cell>
          <cell r="F417" t="str">
            <v/>
          </cell>
          <cell r="G417" t="str">
            <v/>
          </cell>
          <cell r="H417" t="str">
            <v/>
          </cell>
        </row>
        <row r="418">
          <cell r="A418">
            <v>416</v>
          </cell>
          <cell r="B418" t="str">
            <v/>
          </cell>
          <cell r="C418" t="str">
            <v/>
          </cell>
          <cell r="D418" t="str">
            <v/>
          </cell>
          <cell r="E418" t="str">
            <v/>
          </cell>
          <cell r="F418" t="str">
            <v/>
          </cell>
          <cell r="G418" t="str">
            <v/>
          </cell>
          <cell r="H418" t="str">
            <v/>
          </cell>
        </row>
        <row r="419">
          <cell r="A419">
            <v>417</v>
          </cell>
          <cell r="B419" t="str">
            <v/>
          </cell>
          <cell r="C419" t="str">
            <v/>
          </cell>
          <cell r="D419" t="str">
            <v/>
          </cell>
          <cell r="E419" t="str">
            <v/>
          </cell>
          <cell r="F419" t="str">
            <v/>
          </cell>
          <cell r="G419" t="str">
            <v/>
          </cell>
          <cell r="H419" t="str">
            <v/>
          </cell>
        </row>
        <row r="420">
          <cell r="A420">
            <v>418</v>
          </cell>
          <cell r="B420" t="str">
            <v/>
          </cell>
          <cell r="C420" t="str">
            <v/>
          </cell>
          <cell r="D420" t="str">
            <v/>
          </cell>
          <cell r="E420" t="str">
            <v/>
          </cell>
          <cell r="F420" t="str">
            <v/>
          </cell>
          <cell r="G420" t="str">
            <v/>
          </cell>
          <cell r="H420" t="str">
            <v/>
          </cell>
        </row>
        <row r="421">
          <cell r="A421">
            <v>419</v>
          </cell>
          <cell r="B421" t="str">
            <v/>
          </cell>
          <cell r="C421" t="str">
            <v/>
          </cell>
          <cell r="D421" t="str">
            <v/>
          </cell>
          <cell r="E421" t="str">
            <v/>
          </cell>
          <cell r="F421" t="str">
            <v/>
          </cell>
          <cell r="G421" t="str">
            <v/>
          </cell>
          <cell r="H421" t="str">
            <v/>
          </cell>
        </row>
        <row r="422">
          <cell r="A422">
            <v>420</v>
          </cell>
          <cell r="B422" t="str">
            <v/>
          </cell>
          <cell r="C422" t="str">
            <v/>
          </cell>
          <cell r="D422" t="str">
            <v/>
          </cell>
          <cell r="E422" t="str">
            <v/>
          </cell>
          <cell r="F422" t="str">
            <v/>
          </cell>
          <cell r="G422" t="str">
            <v/>
          </cell>
          <cell r="H422" t="str">
            <v/>
          </cell>
        </row>
        <row r="423">
          <cell r="A423">
            <v>421</v>
          </cell>
          <cell r="B423" t="str">
            <v/>
          </cell>
          <cell r="C423" t="str">
            <v/>
          </cell>
          <cell r="D423" t="str">
            <v/>
          </cell>
          <cell r="E423" t="str">
            <v/>
          </cell>
          <cell r="F423" t="str">
            <v/>
          </cell>
          <cell r="G423" t="str">
            <v/>
          </cell>
          <cell r="H423" t="str">
            <v/>
          </cell>
        </row>
        <row r="424">
          <cell r="A424">
            <v>422</v>
          </cell>
          <cell r="B424" t="str">
            <v/>
          </cell>
          <cell r="C424" t="str">
            <v/>
          </cell>
          <cell r="D424" t="str">
            <v/>
          </cell>
          <cell r="E424" t="str">
            <v/>
          </cell>
          <cell r="F424" t="str">
            <v/>
          </cell>
          <cell r="G424" t="str">
            <v/>
          </cell>
          <cell r="H424" t="str">
            <v/>
          </cell>
        </row>
        <row r="425">
          <cell r="A425">
            <v>423</v>
          </cell>
          <cell r="B425" t="str">
            <v/>
          </cell>
          <cell r="C425" t="str">
            <v/>
          </cell>
          <cell r="D425" t="str">
            <v/>
          </cell>
          <cell r="E425" t="str">
            <v/>
          </cell>
          <cell r="F425" t="str">
            <v/>
          </cell>
          <cell r="G425" t="str">
            <v/>
          </cell>
          <cell r="H425" t="str">
            <v/>
          </cell>
        </row>
        <row r="426">
          <cell r="A426">
            <v>424</v>
          </cell>
          <cell r="B426" t="str">
            <v/>
          </cell>
          <cell r="C426" t="str">
            <v/>
          </cell>
          <cell r="D426" t="str">
            <v/>
          </cell>
          <cell r="E426" t="str">
            <v/>
          </cell>
          <cell r="F426" t="str">
            <v/>
          </cell>
          <cell r="G426" t="str">
            <v/>
          </cell>
          <cell r="H426" t="str">
            <v/>
          </cell>
        </row>
        <row r="427">
          <cell r="A427">
            <v>425</v>
          </cell>
          <cell r="B427" t="str">
            <v/>
          </cell>
          <cell r="C427" t="str">
            <v/>
          </cell>
          <cell r="D427" t="str">
            <v/>
          </cell>
          <cell r="E427" t="str">
            <v/>
          </cell>
          <cell r="F427" t="str">
            <v/>
          </cell>
          <cell r="G427" t="str">
            <v/>
          </cell>
          <cell r="H427" t="str">
            <v/>
          </cell>
        </row>
        <row r="428">
          <cell r="A428">
            <v>426</v>
          </cell>
          <cell r="B428" t="str">
            <v/>
          </cell>
          <cell r="C428" t="str">
            <v/>
          </cell>
          <cell r="D428" t="str">
            <v/>
          </cell>
          <cell r="E428" t="str">
            <v/>
          </cell>
          <cell r="F428" t="str">
            <v/>
          </cell>
          <cell r="G428" t="str">
            <v/>
          </cell>
          <cell r="H428" t="str">
            <v/>
          </cell>
        </row>
        <row r="429">
          <cell r="A429">
            <v>427</v>
          </cell>
          <cell r="B429" t="str">
            <v/>
          </cell>
          <cell r="C429" t="str">
            <v/>
          </cell>
          <cell r="D429" t="str">
            <v/>
          </cell>
          <cell r="E429" t="str">
            <v/>
          </cell>
          <cell r="F429" t="str">
            <v/>
          </cell>
          <cell r="G429" t="str">
            <v/>
          </cell>
          <cell r="H429" t="str">
            <v/>
          </cell>
        </row>
        <row r="430">
          <cell r="A430">
            <v>428</v>
          </cell>
          <cell r="B430" t="str">
            <v/>
          </cell>
          <cell r="C430" t="str">
            <v/>
          </cell>
          <cell r="D430" t="str">
            <v/>
          </cell>
          <cell r="E430" t="str">
            <v/>
          </cell>
          <cell r="F430" t="str">
            <v/>
          </cell>
          <cell r="G430" t="str">
            <v/>
          </cell>
          <cell r="H430" t="str">
            <v/>
          </cell>
        </row>
        <row r="431">
          <cell r="A431">
            <v>429</v>
          </cell>
          <cell r="B431" t="str">
            <v/>
          </cell>
          <cell r="C431" t="str">
            <v/>
          </cell>
          <cell r="D431" t="str">
            <v/>
          </cell>
          <cell r="E431" t="str">
            <v/>
          </cell>
          <cell r="F431" t="str">
            <v/>
          </cell>
          <cell r="G431" t="str">
            <v/>
          </cell>
          <cell r="H431" t="str">
            <v/>
          </cell>
        </row>
        <row r="432">
          <cell r="A432">
            <v>430</v>
          </cell>
          <cell r="B432" t="str">
            <v/>
          </cell>
          <cell r="C432" t="str">
            <v/>
          </cell>
          <cell r="D432" t="str">
            <v/>
          </cell>
          <cell r="E432" t="str">
            <v/>
          </cell>
          <cell r="F432" t="str">
            <v/>
          </cell>
          <cell r="G432" t="str">
            <v/>
          </cell>
          <cell r="H432" t="str">
            <v/>
          </cell>
        </row>
        <row r="433">
          <cell r="A433">
            <v>431</v>
          </cell>
          <cell r="B433" t="str">
            <v/>
          </cell>
          <cell r="C433" t="str">
            <v/>
          </cell>
          <cell r="D433" t="str">
            <v/>
          </cell>
          <cell r="E433" t="str">
            <v/>
          </cell>
          <cell r="F433" t="str">
            <v/>
          </cell>
          <cell r="G433" t="str">
            <v/>
          </cell>
          <cell r="H433" t="str">
            <v/>
          </cell>
        </row>
        <row r="434">
          <cell r="A434">
            <v>432</v>
          </cell>
          <cell r="B434" t="str">
            <v/>
          </cell>
          <cell r="C434" t="str">
            <v/>
          </cell>
          <cell r="D434" t="str">
            <v/>
          </cell>
          <cell r="E434" t="str">
            <v/>
          </cell>
          <cell r="F434" t="str">
            <v/>
          </cell>
          <cell r="G434" t="str">
            <v/>
          </cell>
          <cell r="H434" t="str">
            <v/>
          </cell>
        </row>
        <row r="435">
          <cell r="A435">
            <v>433</v>
          </cell>
          <cell r="B435" t="str">
            <v/>
          </cell>
          <cell r="C435" t="str">
            <v/>
          </cell>
          <cell r="D435" t="str">
            <v/>
          </cell>
          <cell r="E435" t="str">
            <v/>
          </cell>
          <cell r="F435" t="str">
            <v/>
          </cell>
          <cell r="G435" t="str">
            <v/>
          </cell>
          <cell r="H435" t="str">
            <v/>
          </cell>
        </row>
        <row r="436">
          <cell r="A436">
            <v>434</v>
          </cell>
          <cell r="B436" t="str">
            <v/>
          </cell>
          <cell r="C436" t="str">
            <v/>
          </cell>
          <cell r="D436" t="str">
            <v/>
          </cell>
          <cell r="E436" t="str">
            <v/>
          </cell>
          <cell r="F436" t="str">
            <v/>
          </cell>
          <cell r="G436" t="str">
            <v/>
          </cell>
          <cell r="H436" t="str">
            <v/>
          </cell>
        </row>
        <row r="437">
          <cell r="A437">
            <v>435</v>
          </cell>
          <cell r="B437" t="str">
            <v/>
          </cell>
          <cell r="C437" t="str">
            <v/>
          </cell>
          <cell r="D437" t="str">
            <v/>
          </cell>
          <cell r="E437" t="str">
            <v/>
          </cell>
          <cell r="F437" t="str">
            <v/>
          </cell>
          <cell r="G437" t="str">
            <v/>
          </cell>
          <cell r="H437" t="str">
            <v/>
          </cell>
        </row>
        <row r="438">
          <cell r="A438">
            <v>436</v>
          </cell>
          <cell r="B438" t="str">
            <v/>
          </cell>
          <cell r="C438" t="str">
            <v/>
          </cell>
          <cell r="D438" t="str">
            <v/>
          </cell>
          <cell r="E438" t="str">
            <v/>
          </cell>
          <cell r="F438" t="str">
            <v/>
          </cell>
          <cell r="G438" t="str">
            <v/>
          </cell>
          <cell r="H438" t="str">
            <v/>
          </cell>
        </row>
        <row r="439">
          <cell r="A439">
            <v>437</v>
          </cell>
          <cell r="B439" t="str">
            <v/>
          </cell>
          <cell r="C439" t="str">
            <v/>
          </cell>
          <cell r="D439" t="str">
            <v/>
          </cell>
          <cell r="E439" t="str">
            <v/>
          </cell>
          <cell r="F439" t="str">
            <v/>
          </cell>
          <cell r="G439" t="str">
            <v/>
          </cell>
          <cell r="H439" t="str">
            <v/>
          </cell>
        </row>
        <row r="440">
          <cell r="A440">
            <v>438</v>
          </cell>
          <cell r="B440" t="str">
            <v/>
          </cell>
          <cell r="C440" t="str">
            <v/>
          </cell>
          <cell r="D440" t="str">
            <v/>
          </cell>
          <cell r="E440" t="str">
            <v/>
          </cell>
          <cell r="F440" t="str">
            <v/>
          </cell>
          <cell r="G440" t="str">
            <v/>
          </cell>
          <cell r="H440" t="str">
            <v/>
          </cell>
        </row>
        <row r="441">
          <cell r="A441">
            <v>439</v>
          </cell>
          <cell r="B441" t="str">
            <v/>
          </cell>
          <cell r="C441" t="str">
            <v/>
          </cell>
          <cell r="D441" t="str">
            <v/>
          </cell>
          <cell r="E441" t="str">
            <v/>
          </cell>
          <cell r="F441" t="str">
            <v/>
          </cell>
          <cell r="G441" t="str">
            <v/>
          </cell>
          <cell r="H441" t="str">
            <v/>
          </cell>
        </row>
        <row r="442">
          <cell r="A442">
            <v>440</v>
          </cell>
          <cell r="B442" t="str">
            <v/>
          </cell>
          <cell r="C442" t="str">
            <v/>
          </cell>
          <cell r="D442" t="str">
            <v/>
          </cell>
          <cell r="E442" t="str">
            <v/>
          </cell>
          <cell r="F442" t="str">
            <v/>
          </cell>
          <cell r="G442" t="str">
            <v/>
          </cell>
          <cell r="H442" t="str">
            <v/>
          </cell>
        </row>
        <row r="443">
          <cell r="A443">
            <v>441</v>
          </cell>
          <cell r="B443" t="str">
            <v/>
          </cell>
          <cell r="C443" t="str">
            <v/>
          </cell>
          <cell r="D443" t="str">
            <v/>
          </cell>
          <cell r="E443" t="str">
            <v/>
          </cell>
          <cell r="F443" t="str">
            <v/>
          </cell>
          <cell r="G443" t="str">
            <v/>
          </cell>
          <cell r="H443" t="str">
            <v/>
          </cell>
        </row>
        <row r="444">
          <cell r="A444">
            <v>442</v>
          </cell>
          <cell r="B444" t="str">
            <v/>
          </cell>
          <cell r="C444" t="str">
            <v/>
          </cell>
          <cell r="D444" t="str">
            <v/>
          </cell>
          <cell r="E444" t="str">
            <v/>
          </cell>
          <cell r="F444" t="str">
            <v/>
          </cell>
          <cell r="G444" t="str">
            <v/>
          </cell>
          <cell r="H444" t="str">
            <v/>
          </cell>
        </row>
        <row r="445">
          <cell r="A445">
            <v>443</v>
          </cell>
          <cell r="B445" t="str">
            <v/>
          </cell>
          <cell r="C445" t="str">
            <v/>
          </cell>
          <cell r="D445" t="str">
            <v/>
          </cell>
          <cell r="E445" t="str">
            <v/>
          </cell>
          <cell r="F445" t="str">
            <v/>
          </cell>
          <cell r="G445" t="str">
            <v/>
          </cell>
          <cell r="H445" t="str">
            <v/>
          </cell>
        </row>
        <row r="446">
          <cell r="A446">
            <v>444</v>
          </cell>
          <cell r="B446" t="str">
            <v/>
          </cell>
          <cell r="C446" t="str">
            <v/>
          </cell>
          <cell r="D446" t="str">
            <v/>
          </cell>
          <cell r="E446" t="str">
            <v/>
          </cell>
          <cell r="F446" t="str">
            <v/>
          </cell>
          <cell r="G446" t="str">
            <v/>
          </cell>
          <cell r="H446" t="str">
            <v/>
          </cell>
        </row>
        <row r="447">
          <cell r="A447">
            <v>445</v>
          </cell>
          <cell r="B447" t="str">
            <v/>
          </cell>
          <cell r="C447" t="str">
            <v/>
          </cell>
          <cell r="D447" t="str">
            <v/>
          </cell>
          <cell r="E447" t="str">
            <v/>
          </cell>
          <cell r="F447" t="str">
            <v/>
          </cell>
          <cell r="G447" t="str">
            <v/>
          </cell>
          <cell r="H447" t="str">
            <v/>
          </cell>
        </row>
        <row r="448">
          <cell r="A448">
            <v>446</v>
          </cell>
          <cell r="B448" t="str">
            <v/>
          </cell>
          <cell r="C448" t="str">
            <v/>
          </cell>
          <cell r="D448" t="str">
            <v/>
          </cell>
          <cell r="E448" t="str">
            <v/>
          </cell>
          <cell r="F448" t="str">
            <v/>
          </cell>
          <cell r="G448" t="str">
            <v/>
          </cell>
          <cell r="H448" t="str">
            <v/>
          </cell>
        </row>
        <row r="449">
          <cell r="A449">
            <v>447</v>
          </cell>
          <cell r="B449" t="str">
            <v/>
          </cell>
          <cell r="C449" t="str">
            <v/>
          </cell>
          <cell r="D449" t="str">
            <v/>
          </cell>
          <cell r="E449" t="str">
            <v/>
          </cell>
          <cell r="F449" t="str">
            <v/>
          </cell>
          <cell r="G449" t="str">
            <v/>
          </cell>
          <cell r="H449" t="str">
            <v/>
          </cell>
        </row>
        <row r="450">
          <cell r="A450">
            <v>448</v>
          </cell>
          <cell r="B450" t="str">
            <v/>
          </cell>
          <cell r="C450" t="str">
            <v/>
          </cell>
          <cell r="D450" t="str">
            <v/>
          </cell>
          <cell r="E450" t="str">
            <v/>
          </cell>
          <cell r="F450" t="str">
            <v/>
          </cell>
          <cell r="G450" t="str">
            <v/>
          </cell>
          <cell r="H450" t="str">
            <v/>
          </cell>
        </row>
        <row r="451">
          <cell r="A451">
            <v>449</v>
          </cell>
          <cell r="B451" t="str">
            <v/>
          </cell>
          <cell r="C451" t="str">
            <v/>
          </cell>
          <cell r="D451" t="str">
            <v/>
          </cell>
          <cell r="E451" t="str">
            <v/>
          </cell>
          <cell r="F451" t="str">
            <v/>
          </cell>
          <cell r="G451" t="str">
            <v/>
          </cell>
          <cell r="H451" t="str">
            <v/>
          </cell>
        </row>
        <row r="452">
          <cell r="A452">
            <v>450</v>
          </cell>
          <cell r="B452" t="str">
            <v/>
          </cell>
          <cell r="C452" t="str">
            <v/>
          </cell>
          <cell r="D452" t="str">
            <v/>
          </cell>
          <cell r="E452" t="str">
            <v/>
          </cell>
          <cell r="F452" t="str">
            <v/>
          </cell>
          <cell r="G452" t="str">
            <v/>
          </cell>
          <cell r="H452" t="str">
            <v/>
          </cell>
        </row>
        <row r="453">
          <cell r="A453">
            <v>451</v>
          </cell>
          <cell r="B453" t="str">
            <v/>
          </cell>
          <cell r="C453" t="str">
            <v/>
          </cell>
          <cell r="D453" t="str">
            <v/>
          </cell>
          <cell r="E453" t="str">
            <v/>
          </cell>
          <cell r="F453" t="str">
            <v/>
          </cell>
          <cell r="G453" t="str">
            <v/>
          </cell>
          <cell r="H453" t="str">
            <v/>
          </cell>
        </row>
        <row r="454">
          <cell r="A454">
            <v>452</v>
          </cell>
          <cell r="B454" t="str">
            <v/>
          </cell>
          <cell r="C454" t="str">
            <v/>
          </cell>
          <cell r="D454" t="str">
            <v/>
          </cell>
          <cell r="E454" t="str">
            <v/>
          </cell>
          <cell r="F454" t="str">
            <v/>
          </cell>
          <cell r="G454" t="str">
            <v/>
          </cell>
          <cell r="H454" t="str">
            <v/>
          </cell>
        </row>
        <row r="455">
          <cell r="A455">
            <v>453</v>
          </cell>
          <cell r="B455" t="str">
            <v/>
          </cell>
          <cell r="C455" t="str">
            <v/>
          </cell>
          <cell r="D455" t="str">
            <v/>
          </cell>
          <cell r="E455" t="str">
            <v/>
          </cell>
          <cell r="F455" t="str">
            <v/>
          </cell>
          <cell r="G455" t="str">
            <v/>
          </cell>
          <cell r="H455" t="str">
            <v/>
          </cell>
        </row>
        <row r="456">
          <cell r="A456">
            <v>454</v>
          </cell>
          <cell r="B456" t="str">
            <v/>
          </cell>
          <cell r="C456" t="str">
            <v/>
          </cell>
          <cell r="D456" t="str">
            <v/>
          </cell>
          <cell r="E456" t="str">
            <v/>
          </cell>
          <cell r="F456" t="str">
            <v/>
          </cell>
          <cell r="G456" t="str">
            <v/>
          </cell>
          <cell r="H456" t="str">
            <v/>
          </cell>
        </row>
        <row r="457">
          <cell r="A457">
            <v>455</v>
          </cell>
          <cell r="B457" t="str">
            <v/>
          </cell>
          <cell r="C457" t="str">
            <v/>
          </cell>
          <cell r="D457" t="str">
            <v/>
          </cell>
          <cell r="E457" t="str">
            <v/>
          </cell>
          <cell r="F457" t="str">
            <v/>
          </cell>
          <cell r="G457" t="str">
            <v/>
          </cell>
          <cell r="H457" t="str">
            <v/>
          </cell>
        </row>
        <row r="458">
          <cell r="A458">
            <v>456</v>
          </cell>
          <cell r="B458" t="str">
            <v/>
          </cell>
          <cell r="C458" t="str">
            <v/>
          </cell>
          <cell r="D458" t="str">
            <v/>
          </cell>
          <cell r="E458" t="str">
            <v/>
          </cell>
          <cell r="F458" t="str">
            <v/>
          </cell>
          <cell r="G458" t="str">
            <v/>
          </cell>
          <cell r="H458" t="str">
            <v/>
          </cell>
        </row>
        <row r="459">
          <cell r="A459">
            <v>457</v>
          </cell>
          <cell r="B459" t="str">
            <v/>
          </cell>
          <cell r="C459" t="str">
            <v/>
          </cell>
          <cell r="D459" t="str">
            <v/>
          </cell>
          <cell r="E459" t="str">
            <v/>
          </cell>
          <cell r="F459" t="str">
            <v/>
          </cell>
          <cell r="G459" t="str">
            <v/>
          </cell>
          <cell r="H459" t="str">
            <v/>
          </cell>
        </row>
        <row r="460">
          <cell r="A460">
            <v>458</v>
          </cell>
          <cell r="B460" t="str">
            <v/>
          </cell>
          <cell r="C460" t="str">
            <v/>
          </cell>
          <cell r="D460" t="str">
            <v/>
          </cell>
          <cell r="E460" t="str">
            <v/>
          </cell>
          <cell r="F460" t="str">
            <v/>
          </cell>
          <cell r="G460" t="str">
            <v/>
          </cell>
          <cell r="H460" t="str">
            <v/>
          </cell>
        </row>
        <row r="461">
          <cell r="A461">
            <v>459</v>
          </cell>
          <cell r="B461" t="str">
            <v/>
          </cell>
          <cell r="C461" t="str">
            <v/>
          </cell>
          <cell r="D461" t="str">
            <v/>
          </cell>
          <cell r="E461" t="str">
            <v/>
          </cell>
          <cell r="F461" t="str">
            <v/>
          </cell>
          <cell r="G461" t="str">
            <v/>
          </cell>
          <cell r="H461" t="str">
            <v/>
          </cell>
        </row>
        <row r="462">
          <cell r="A462">
            <v>460</v>
          </cell>
          <cell r="B462" t="str">
            <v/>
          </cell>
          <cell r="C462" t="str">
            <v/>
          </cell>
          <cell r="D462" t="str">
            <v/>
          </cell>
          <cell r="E462" t="str">
            <v/>
          </cell>
          <cell r="F462" t="str">
            <v/>
          </cell>
          <cell r="G462" t="str">
            <v/>
          </cell>
          <cell r="H462" t="str">
            <v/>
          </cell>
        </row>
        <row r="463">
          <cell r="A463">
            <v>461</v>
          </cell>
          <cell r="B463" t="str">
            <v/>
          </cell>
          <cell r="C463" t="str">
            <v/>
          </cell>
          <cell r="D463" t="str">
            <v/>
          </cell>
          <cell r="E463" t="str">
            <v/>
          </cell>
          <cell r="F463" t="str">
            <v/>
          </cell>
          <cell r="G463" t="str">
            <v/>
          </cell>
          <cell r="H463" t="str">
            <v/>
          </cell>
        </row>
        <row r="464">
          <cell r="A464">
            <v>462</v>
          </cell>
          <cell r="B464" t="str">
            <v/>
          </cell>
          <cell r="C464" t="str">
            <v/>
          </cell>
          <cell r="D464" t="str">
            <v/>
          </cell>
          <cell r="E464" t="str">
            <v/>
          </cell>
          <cell r="F464" t="str">
            <v/>
          </cell>
          <cell r="G464" t="str">
            <v/>
          </cell>
          <cell r="H464" t="str">
            <v/>
          </cell>
        </row>
        <row r="465">
          <cell r="A465">
            <v>463</v>
          </cell>
          <cell r="B465" t="str">
            <v/>
          </cell>
          <cell r="C465" t="str">
            <v/>
          </cell>
          <cell r="D465" t="str">
            <v/>
          </cell>
          <cell r="E465" t="str">
            <v/>
          </cell>
          <cell r="F465" t="str">
            <v/>
          </cell>
          <cell r="G465" t="str">
            <v/>
          </cell>
          <cell r="H465" t="str">
            <v/>
          </cell>
        </row>
        <row r="466">
          <cell r="A466">
            <v>464</v>
          </cell>
          <cell r="B466" t="str">
            <v/>
          </cell>
          <cell r="C466" t="str">
            <v/>
          </cell>
          <cell r="D466" t="str">
            <v/>
          </cell>
          <cell r="E466" t="str">
            <v/>
          </cell>
          <cell r="F466" t="str">
            <v/>
          </cell>
          <cell r="G466" t="str">
            <v/>
          </cell>
          <cell r="H466" t="str">
            <v/>
          </cell>
        </row>
        <row r="467">
          <cell r="A467">
            <v>465</v>
          </cell>
          <cell r="B467" t="str">
            <v/>
          </cell>
          <cell r="C467" t="str">
            <v/>
          </cell>
          <cell r="D467" t="str">
            <v/>
          </cell>
          <cell r="E467" t="str">
            <v/>
          </cell>
          <cell r="F467" t="str">
            <v/>
          </cell>
          <cell r="G467" t="str">
            <v/>
          </cell>
          <cell r="H467" t="str">
            <v/>
          </cell>
        </row>
        <row r="468">
          <cell r="A468">
            <v>466</v>
          </cell>
          <cell r="B468" t="str">
            <v/>
          </cell>
          <cell r="C468" t="str">
            <v/>
          </cell>
          <cell r="D468" t="str">
            <v/>
          </cell>
          <cell r="E468" t="str">
            <v/>
          </cell>
          <cell r="F468" t="str">
            <v/>
          </cell>
          <cell r="G468" t="str">
            <v/>
          </cell>
          <cell r="H468" t="str">
            <v/>
          </cell>
        </row>
        <row r="469">
          <cell r="A469">
            <v>467</v>
          </cell>
          <cell r="B469" t="str">
            <v/>
          </cell>
          <cell r="C469" t="str">
            <v/>
          </cell>
          <cell r="D469" t="str">
            <v/>
          </cell>
          <cell r="E469" t="str">
            <v/>
          </cell>
          <cell r="F469" t="str">
            <v/>
          </cell>
          <cell r="G469" t="str">
            <v/>
          </cell>
          <cell r="H469" t="str">
            <v/>
          </cell>
        </row>
        <row r="470">
          <cell r="A470">
            <v>468</v>
          </cell>
          <cell r="B470" t="str">
            <v/>
          </cell>
          <cell r="C470" t="str">
            <v/>
          </cell>
          <cell r="D470" t="str">
            <v/>
          </cell>
          <cell r="E470" t="str">
            <v/>
          </cell>
          <cell r="F470" t="str">
            <v/>
          </cell>
          <cell r="G470" t="str">
            <v/>
          </cell>
          <cell r="H470" t="str">
            <v/>
          </cell>
        </row>
        <row r="471">
          <cell r="A471">
            <v>469</v>
          </cell>
          <cell r="B471" t="str">
            <v/>
          </cell>
          <cell r="C471" t="str">
            <v/>
          </cell>
          <cell r="D471" t="str">
            <v/>
          </cell>
          <cell r="E471" t="str">
            <v/>
          </cell>
          <cell r="F471" t="str">
            <v/>
          </cell>
          <cell r="G471" t="str">
            <v/>
          </cell>
          <cell r="H471" t="str">
            <v/>
          </cell>
        </row>
        <row r="472">
          <cell r="A472">
            <v>470</v>
          </cell>
          <cell r="B472" t="str">
            <v/>
          </cell>
          <cell r="C472" t="str">
            <v/>
          </cell>
          <cell r="D472" t="str">
            <v/>
          </cell>
          <cell r="E472" t="str">
            <v/>
          </cell>
          <cell r="F472" t="str">
            <v/>
          </cell>
          <cell r="G472" t="str">
            <v/>
          </cell>
          <cell r="H472" t="str">
            <v/>
          </cell>
        </row>
        <row r="473">
          <cell r="A473">
            <v>471</v>
          </cell>
          <cell r="B473" t="str">
            <v/>
          </cell>
          <cell r="C473" t="str">
            <v/>
          </cell>
          <cell r="D473" t="str">
            <v/>
          </cell>
          <cell r="E473" t="str">
            <v/>
          </cell>
          <cell r="F473" t="str">
            <v/>
          </cell>
          <cell r="G473" t="str">
            <v/>
          </cell>
          <cell r="H473" t="str">
            <v/>
          </cell>
        </row>
        <row r="474">
          <cell r="A474">
            <v>472</v>
          </cell>
          <cell r="B474" t="str">
            <v/>
          </cell>
          <cell r="C474" t="str">
            <v/>
          </cell>
          <cell r="D474" t="str">
            <v/>
          </cell>
          <cell r="E474" t="str">
            <v/>
          </cell>
          <cell r="F474" t="str">
            <v/>
          </cell>
          <cell r="G474" t="str">
            <v/>
          </cell>
          <cell r="H474" t="str">
            <v/>
          </cell>
        </row>
        <row r="475">
          <cell r="A475">
            <v>473</v>
          </cell>
          <cell r="B475" t="str">
            <v/>
          </cell>
          <cell r="C475" t="str">
            <v/>
          </cell>
          <cell r="D475" t="str">
            <v/>
          </cell>
          <cell r="E475" t="str">
            <v/>
          </cell>
          <cell r="F475" t="str">
            <v/>
          </cell>
          <cell r="G475" t="str">
            <v/>
          </cell>
          <cell r="H475" t="str">
            <v/>
          </cell>
        </row>
        <row r="476">
          <cell r="A476">
            <v>474</v>
          </cell>
          <cell r="B476" t="str">
            <v/>
          </cell>
          <cell r="C476" t="str">
            <v/>
          </cell>
          <cell r="D476" t="str">
            <v/>
          </cell>
          <cell r="E476" t="str">
            <v/>
          </cell>
          <cell r="F476" t="str">
            <v/>
          </cell>
          <cell r="G476" t="str">
            <v/>
          </cell>
          <cell r="H476" t="str">
            <v/>
          </cell>
        </row>
        <row r="477">
          <cell r="A477">
            <v>475</v>
          </cell>
          <cell r="B477" t="str">
            <v/>
          </cell>
          <cell r="C477" t="str">
            <v/>
          </cell>
          <cell r="D477" t="str">
            <v/>
          </cell>
          <cell r="E477" t="str">
            <v/>
          </cell>
          <cell r="F477" t="str">
            <v/>
          </cell>
          <cell r="G477" t="str">
            <v/>
          </cell>
          <cell r="H477" t="str">
            <v/>
          </cell>
        </row>
        <row r="478">
          <cell r="A478">
            <v>476</v>
          </cell>
          <cell r="B478" t="str">
            <v/>
          </cell>
          <cell r="C478" t="str">
            <v/>
          </cell>
          <cell r="D478" t="str">
            <v/>
          </cell>
          <cell r="E478" t="str">
            <v/>
          </cell>
          <cell r="F478" t="str">
            <v/>
          </cell>
          <cell r="G478" t="str">
            <v/>
          </cell>
          <cell r="H478" t="str">
            <v/>
          </cell>
        </row>
        <row r="479">
          <cell r="A479">
            <v>477</v>
          </cell>
          <cell r="B479" t="str">
            <v/>
          </cell>
          <cell r="C479" t="str">
            <v/>
          </cell>
          <cell r="D479" t="str">
            <v/>
          </cell>
          <cell r="E479" t="str">
            <v/>
          </cell>
          <cell r="F479" t="str">
            <v/>
          </cell>
          <cell r="G479" t="str">
            <v/>
          </cell>
          <cell r="H479" t="str">
            <v/>
          </cell>
        </row>
        <row r="480">
          <cell r="A480">
            <v>478</v>
          </cell>
          <cell r="B480" t="str">
            <v/>
          </cell>
          <cell r="C480" t="str">
            <v/>
          </cell>
          <cell r="D480" t="str">
            <v/>
          </cell>
          <cell r="E480" t="str">
            <v/>
          </cell>
          <cell r="F480" t="str">
            <v/>
          </cell>
          <cell r="G480" t="str">
            <v/>
          </cell>
          <cell r="H480" t="str">
            <v/>
          </cell>
        </row>
        <row r="481">
          <cell r="A481">
            <v>479</v>
          </cell>
          <cell r="B481" t="str">
            <v/>
          </cell>
          <cell r="C481" t="str">
            <v/>
          </cell>
          <cell r="D481" t="str">
            <v/>
          </cell>
          <cell r="E481" t="str">
            <v/>
          </cell>
          <cell r="F481" t="str">
            <v/>
          </cell>
          <cell r="G481" t="str">
            <v/>
          </cell>
          <cell r="H481" t="str">
            <v/>
          </cell>
        </row>
        <row r="482">
          <cell r="A482">
            <v>480</v>
          </cell>
          <cell r="B482" t="str">
            <v/>
          </cell>
          <cell r="C482" t="str">
            <v/>
          </cell>
          <cell r="D482" t="str">
            <v/>
          </cell>
          <cell r="E482" t="str">
            <v/>
          </cell>
          <cell r="F482" t="str">
            <v/>
          </cell>
          <cell r="G482" t="str">
            <v/>
          </cell>
          <cell r="H482" t="str">
            <v/>
          </cell>
        </row>
        <row r="483">
          <cell r="A483">
            <v>481</v>
          </cell>
          <cell r="B483" t="str">
            <v/>
          </cell>
          <cell r="C483" t="str">
            <v/>
          </cell>
          <cell r="D483" t="str">
            <v/>
          </cell>
          <cell r="E483" t="str">
            <v/>
          </cell>
          <cell r="F483" t="str">
            <v/>
          </cell>
          <cell r="G483" t="str">
            <v/>
          </cell>
          <cell r="H483" t="str">
            <v/>
          </cell>
        </row>
        <row r="484">
          <cell r="A484">
            <v>482</v>
          </cell>
          <cell r="B484" t="str">
            <v/>
          </cell>
          <cell r="C484" t="str">
            <v/>
          </cell>
          <cell r="D484" t="str">
            <v/>
          </cell>
          <cell r="E484" t="str">
            <v/>
          </cell>
          <cell r="F484" t="str">
            <v/>
          </cell>
          <cell r="G484" t="str">
            <v/>
          </cell>
          <cell r="H484" t="str">
            <v/>
          </cell>
        </row>
        <row r="485">
          <cell r="A485">
            <v>483</v>
          </cell>
          <cell r="B485" t="str">
            <v/>
          </cell>
          <cell r="C485" t="str">
            <v/>
          </cell>
          <cell r="D485" t="str">
            <v/>
          </cell>
          <cell r="E485" t="str">
            <v/>
          </cell>
          <cell r="F485" t="str">
            <v/>
          </cell>
          <cell r="G485" t="str">
            <v/>
          </cell>
          <cell r="H485" t="str">
            <v/>
          </cell>
        </row>
        <row r="486">
          <cell r="A486">
            <v>484</v>
          </cell>
          <cell r="B486" t="str">
            <v/>
          </cell>
          <cell r="C486" t="str">
            <v/>
          </cell>
          <cell r="D486" t="str">
            <v/>
          </cell>
          <cell r="E486" t="str">
            <v/>
          </cell>
          <cell r="F486" t="str">
            <v/>
          </cell>
          <cell r="G486" t="str">
            <v/>
          </cell>
          <cell r="H486" t="str">
            <v/>
          </cell>
        </row>
        <row r="487">
          <cell r="A487">
            <v>485</v>
          </cell>
          <cell r="B487" t="str">
            <v/>
          </cell>
          <cell r="C487" t="str">
            <v/>
          </cell>
          <cell r="D487" t="str">
            <v/>
          </cell>
          <cell r="E487" t="str">
            <v/>
          </cell>
          <cell r="F487" t="str">
            <v/>
          </cell>
          <cell r="G487" t="str">
            <v/>
          </cell>
          <cell r="H487" t="str">
            <v/>
          </cell>
        </row>
        <row r="488">
          <cell r="A488">
            <v>486</v>
          </cell>
          <cell r="B488" t="str">
            <v/>
          </cell>
          <cell r="C488" t="str">
            <v/>
          </cell>
          <cell r="D488" t="str">
            <v/>
          </cell>
          <cell r="E488" t="str">
            <v/>
          </cell>
          <cell r="F488" t="str">
            <v/>
          </cell>
          <cell r="G488" t="str">
            <v/>
          </cell>
          <cell r="H488" t="str">
            <v/>
          </cell>
        </row>
        <row r="489">
          <cell r="A489">
            <v>487</v>
          </cell>
          <cell r="B489" t="str">
            <v/>
          </cell>
          <cell r="C489" t="str">
            <v/>
          </cell>
          <cell r="D489" t="str">
            <v/>
          </cell>
          <cell r="E489" t="str">
            <v/>
          </cell>
          <cell r="F489" t="str">
            <v/>
          </cell>
          <cell r="G489" t="str">
            <v/>
          </cell>
          <cell r="H489" t="str">
            <v/>
          </cell>
        </row>
        <row r="490">
          <cell r="A490">
            <v>488</v>
          </cell>
          <cell r="B490" t="str">
            <v/>
          </cell>
          <cell r="C490" t="str">
            <v/>
          </cell>
          <cell r="D490" t="str">
            <v/>
          </cell>
          <cell r="E490" t="str">
            <v/>
          </cell>
          <cell r="F490" t="str">
            <v/>
          </cell>
          <cell r="G490" t="str">
            <v/>
          </cell>
          <cell r="H490" t="str">
            <v/>
          </cell>
        </row>
        <row r="491">
          <cell r="A491">
            <v>489</v>
          </cell>
          <cell r="B491" t="str">
            <v/>
          </cell>
          <cell r="C491" t="str">
            <v/>
          </cell>
          <cell r="D491" t="str">
            <v/>
          </cell>
          <cell r="E491" t="str">
            <v/>
          </cell>
          <cell r="F491" t="str">
            <v/>
          </cell>
          <cell r="G491" t="str">
            <v/>
          </cell>
          <cell r="H491" t="str">
            <v/>
          </cell>
        </row>
        <row r="492">
          <cell r="A492">
            <v>490</v>
          </cell>
          <cell r="B492" t="str">
            <v/>
          </cell>
          <cell r="C492" t="str">
            <v/>
          </cell>
          <cell r="D492" t="str">
            <v/>
          </cell>
          <cell r="E492" t="str">
            <v/>
          </cell>
          <cell r="F492" t="str">
            <v/>
          </cell>
          <cell r="G492" t="str">
            <v/>
          </cell>
          <cell r="H492" t="str">
            <v/>
          </cell>
        </row>
        <row r="493">
          <cell r="A493">
            <v>491</v>
          </cell>
          <cell r="B493" t="str">
            <v/>
          </cell>
          <cell r="C493" t="str">
            <v/>
          </cell>
          <cell r="D493" t="str">
            <v/>
          </cell>
          <cell r="E493" t="str">
            <v/>
          </cell>
          <cell r="F493" t="str">
            <v/>
          </cell>
          <cell r="G493" t="str">
            <v/>
          </cell>
          <cell r="H493" t="str">
            <v/>
          </cell>
        </row>
        <row r="494">
          <cell r="A494">
            <v>492</v>
          </cell>
          <cell r="B494" t="str">
            <v/>
          </cell>
          <cell r="C494" t="str">
            <v/>
          </cell>
          <cell r="D494" t="str">
            <v/>
          </cell>
          <cell r="E494" t="str">
            <v/>
          </cell>
          <cell r="F494" t="str">
            <v/>
          </cell>
          <cell r="G494" t="str">
            <v/>
          </cell>
          <cell r="H494" t="str">
            <v/>
          </cell>
        </row>
        <row r="495">
          <cell r="A495">
            <v>493</v>
          </cell>
          <cell r="B495" t="str">
            <v/>
          </cell>
          <cell r="C495" t="str">
            <v/>
          </cell>
          <cell r="D495" t="str">
            <v/>
          </cell>
          <cell r="E495" t="str">
            <v/>
          </cell>
          <cell r="F495" t="str">
            <v/>
          </cell>
          <cell r="G495" t="str">
            <v/>
          </cell>
          <cell r="H495" t="str">
            <v/>
          </cell>
        </row>
        <row r="496">
          <cell r="A496">
            <v>494</v>
          </cell>
          <cell r="B496" t="str">
            <v/>
          </cell>
          <cell r="C496" t="str">
            <v/>
          </cell>
          <cell r="D496" t="str">
            <v/>
          </cell>
          <cell r="E496" t="str">
            <v/>
          </cell>
          <cell r="F496" t="str">
            <v/>
          </cell>
          <cell r="G496" t="str">
            <v/>
          </cell>
          <cell r="H496" t="str">
            <v/>
          </cell>
        </row>
        <row r="497">
          <cell r="A497">
            <v>495</v>
          </cell>
          <cell r="B497" t="str">
            <v/>
          </cell>
          <cell r="C497" t="str">
            <v/>
          </cell>
          <cell r="D497" t="str">
            <v/>
          </cell>
          <cell r="E497" t="str">
            <v/>
          </cell>
          <cell r="F497" t="str">
            <v/>
          </cell>
          <cell r="G497" t="str">
            <v/>
          </cell>
          <cell r="H497" t="str">
            <v/>
          </cell>
        </row>
        <row r="498">
          <cell r="A498">
            <v>496</v>
          </cell>
          <cell r="B498" t="str">
            <v/>
          </cell>
          <cell r="C498" t="str">
            <v/>
          </cell>
          <cell r="D498" t="str">
            <v/>
          </cell>
          <cell r="E498" t="str">
            <v/>
          </cell>
          <cell r="F498" t="str">
            <v/>
          </cell>
          <cell r="G498" t="str">
            <v/>
          </cell>
          <cell r="H498" t="str">
            <v/>
          </cell>
        </row>
        <row r="499">
          <cell r="A499">
            <v>497</v>
          </cell>
          <cell r="B499" t="str">
            <v/>
          </cell>
          <cell r="C499" t="str">
            <v/>
          </cell>
          <cell r="D499" t="str">
            <v/>
          </cell>
          <cell r="E499" t="str">
            <v/>
          </cell>
          <cell r="F499" t="str">
            <v/>
          </cell>
          <cell r="G499" t="str">
            <v/>
          </cell>
          <cell r="H499" t="str">
            <v/>
          </cell>
        </row>
        <row r="500">
          <cell r="A500">
            <v>498</v>
          </cell>
          <cell r="B500" t="str">
            <v/>
          </cell>
          <cell r="C500" t="str">
            <v/>
          </cell>
          <cell r="D500" t="str">
            <v/>
          </cell>
          <cell r="E500" t="str">
            <v/>
          </cell>
          <cell r="F500" t="str">
            <v/>
          </cell>
          <cell r="G500" t="str">
            <v/>
          </cell>
          <cell r="H500" t="str">
            <v/>
          </cell>
        </row>
        <row r="501">
          <cell r="A501">
            <v>499</v>
          </cell>
          <cell r="B501" t="str">
            <v/>
          </cell>
          <cell r="C501" t="str">
            <v/>
          </cell>
          <cell r="D501" t="str">
            <v/>
          </cell>
          <cell r="E501" t="str">
            <v/>
          </cell>
          <cell r="F501" t="str">
            <v/>
          </cell>
          <cell r="G501" t="str">
            <v/>
          </cell>
          <cell r="H501" t="str">
            <v/>
          </cell>
        </row>
        <row r="502">
          <cell r="A502">
            <v>500</v>
          </cell>
          <cell r="B502" t="str">
            <v/>
          </cell>
          <cell r="C502" t="str">
            <v/>
          </cell>
          <cell r="D502" t="str">
            <v/>
          </cell>
          <cell r="E502" t="str">
            <v/>
          </cell>
          <cell r="F502" t="str">
            <v/>
          </cell>
          <cell r="G502" t="str">
            <v/>
          </cell>
          <cell r="H502" t="str">
            <v/>
          </cell>
        </row>
        <row r="503">
          <cell r="A503">
            <v>501</v>
          </cell>
          <cell r="B503" t="str">
            <v/>
          </cell>
          <cell r="C503" t="str">
            <v/>
          </cell>
          <cell r="D503" t="str">
            <v/>
          </cell>
          <cell r="E503" t="str">
            <v/>
          </cell>
          <cell r="F503" t="str">
            <v/>
          </cell>
          <cell r="G503" t="str">
            <v/>
          </cell>
          <cell r="H503" t="str">
            <v/>
          </cell>
        </row>
        <row r="504">
          <cell r="A504">
            <v>502</v>
          </cell>
          <cell r="B504" t="str">
            <v/>
          </cell>
          <cell r="C504" t="str">
            <v/>
          </cell>
          <cell r="D504" t="str">
            <v/>
          </cell>
          <cell r="E504" t="str">
            <v/>
          </cell>
          <cell r="F504" t="str">
            <v/>
          </cell>
          <cell r="G504" t="str">
            <v/>
          </cell>
          <cell r="H504" t="str">
            <v/>
          </cell>
        </row>
        <row r="505">
          <cell r="A505">
            <v>503</v>
          </cell>
          <cell r="B505" t="str">
            <v/>
          </cell>
          <cell r="C505" t="str">
            <v/>
          </cell>
          <cell r="D505" t="str">
            <v/>
          </cell>
          <cell r="E505" t="str">
            <v/>
          </cell>
          <cell r="F505" t="str">
            <v/>
          </cell>
          <cell r="G505" t="str">
            <v/>
          </cell>
          <cell r="H505" t="str">
            <v/>
          </cell>
        </row>
        <row r="506">
          <cell r="A506">
            <v>504</v>
          </cell>
          <cell r="B506" t="str">
            <v/>
          </cell>
          <cell r="C506" t="str">
            <v/>
          </cell>
          <cell r="D506" t="str">
            <v/>
          </cell>
          <cell r="E506" t="str">
            <v/>
          </cell>
          <cell r="F506" t="str">
            <v/>
          </cell>
          <cell r="G506" t="str">
            <v/>
          </cell>
          <cell r="H506" t="str">
            <v/>
          </cell>
        </row>
        <row r="507">
          <cell r="A507">
            <v>505</v>
          </cell>
          <cell r="B507" t="str">
            <v/>
          </cell>
          <cell r="C507" t="str">
            <v/>
          </cell>
          <cell r="D507" t="str">
            <v/>
          </cell>
          <cell r="E507" t="str">
            <v/>
          </cell>
          <cell r="F507" t="str">
            <v/>
          </cell>
          <cell r="G507" t="str">
            <v/>
          </cell>
          <cell r="H507" t="str">
            <v/>
          </cell>
        </row>
        <row r="508">
          <cell r="A508">
            <v>506</v>
          </cell>
          <cell r="B508" t="str">
            <v/>
          </cell>
          <cell r="C508" t="str">
            <v/>
          </cell>
          <cell r="D508" t="str">
            <v/>
          </cell>
          <cell r="E508" t="str">
            <v/>
          </cell>
          <cell r="F508" t="str">
            <v/>
          </cell>
          <cell r="G508" t="str">
            <v/>
          </cell>
          <cell r="H508" t="str">
            <v/>
          </cell>
        </row>
        <row r="509">
          <cell r="A509">
            <v>507</v>
          </cell>
          <cell r="B509" t="str">
            <v/>
          </cell>
          <cell r="C509" t="str">
            <v/>
          </cell>
          <cell r="D509" t="str">
            <v/>
          </cell>
          <cell r="E509" t="str">
            <v/>
          </cell>
          <cell r="F509" t="str">
            <v/>
          </cell>
          <cell r="G509" t="str">
            <v/>
          </cell>
          <cell r="H509" t="str">
            <v/>
          </cell>
        </row>
        <row r="510">
          <cell r="A510">
            <v>508</v>
          </cell>
          <cell r="B510" t="str">
            <v/>
          </cell>
          <cell r="C510" t="str">
            <v/>
          </cell>
          <cell r="D510" t="str">
            <v/>
          </cell>
          <cell r="E510" t="str">
            <v/>
          </cell>
          <cell r="F510" t="str">
            <v/>
          </cell>
          <cell r="G510" t="str">
            <v/>
          </cell>
          <cell r="H510" t="str">
            <v/>
          </cell>
        </row>
        <row r="511">
          <cell r="A511">
            <v>509</v>
          </cell>
          <cell r="B511" t="str">
            <v/>
          </cell>
          <cell r="C511" t="str">
            <v/>
          </cell>
          <cell r="D511" t="str">
            <v/>
          </cell>
          <cell r="E511" t="str">
            <v/>
          </cell>
          <cell r="F511" t="str">
            <v/>
          </cell>
          <cell r="G511" t="str">
            <v/>
          </cell>
          <cell r="H511" t="str">
            <v/>
          </cell>
        </row>
        <row r="512">
          <cell r="A512">
            <v>510</v>
          </cell>
          <cell r="B512" t="str">
            <v/>
          </cell>
          <cell r="C512" t="str">
            <v/>
          </cell>
          <cell r="D512" t="str">
            <v/>
          </cell>
          <cell r="E512" t="str">
            <v/>
          </cell>
          <cell r="F512" t="str">
            <v/>
          </cell>
          <cell r="G512" t="str">
            <v/>
          </cell>
          <cell r="H512" t="str">
            <v/>
          </cell>
        </row>
        <row r="513">
          <cell r="A513">
            <v>511</v>
          </cell>
          <cell r="B513" t="str">
            <v/>
          </cell>
          <cell r="C513" t="str">
            <v/>
          </cell>
          <cell r="D513" t="str">
            <v/>
          </cell>
          <cell r="E513" t="str">
            <v/>
          </cell>
          <cell r="F513" t="str">
            <v/>
          </cell>
          <cell r="G513" t="str">
            <v/>
          </cell>
          <cell r="H513" t="str">
            <v/>
          </cell>
        </row>
        <row r="514">
          <cell r="A514">
            <v>512</v>
          </cell>
          <cell r="B514" t="str">
            <v/>
          </cell>
          <cell r="C514" t="str">
            <v/>
          </cell>
          <cell r="D514" t="str">
            <v/>
          </cell>
          <cell r="E514" t="str">
            <v/>
          </cell>
          <cell r="F514" t="str">
            <v/>
          </cell>
          <cell r="G514" t="str">
            <v/>
          </cell>
          <cell r="H514" t="str">
            <v/>
          </cell>
        </row>
        <row r="515">
          <cell r="A515">
            <v>513</v>
          </cell>
          <cell r="B515" t="str">
            <v/>
          </cell>
          <cell r="C515" t="str">
            <v/>
          </cell>
          <cell r="D515" t="str">
            <v/>
          </cell>
          <cell r="E515" t="str">
            <v/>
          </cell>
          <cell r="F515" t="str">
            <v/>
          </cell>
          <cell r="G515" t="str">
            <v/>
          </cell>
          <cell r="H515" t="str">
            <v/>
          </cell>
        </row>
        <row r="516">
          <cell r="A516">
            <v>514</v>
          </cell>
          <cell r="B516" t="str">
            <v/>
          </cell>
          <cell r="C516" t="str">
            <v/>
          </cell>
          <cell r="D516" t="str">
            <v/>
          </cell>
          <cell r="E516" t="str">
            <v/>
          </cell>
          <cell r="F516" t="str">
            <v/>
          </cell>
          <cell r="G516" t="str">
            <v/>
          </cell>
          <cell r="H516" t="str">
            <v/>
          </cell>
        </row>
        <row r="517">
          <cell r="A517">
            <v>515</v>
          </cell>
          <cell r="B517" t="str">
            <v/>
          </cell>
          <cell r="C517" t="str">
            <v/>
          </cell>
          <cell r="D517" t="str">
            <v/>
          </cell>
          <cell r="E517" t="str">
            <v/>
          </cell>
          <cell r="F517" t="str">
            <v/>
          </cell>
          <cell r="G517" t="str">
            <v/>
          </cell>
          <cell r="H517" t="str">
            <v/>
          </cell>
        </row>
        <row r="518">
          <cell r="A518">
            <v>516</v>
          </cell>
          <cell r="B518" t="str">
            <v/>
          </cell>
          <cell r="C518" t="str">
            <v/>
          </cell>
          <cell r="D518" t="str">
            <v/>
          </cell>
          <cell r="E518" t="str">
            <v/>
          </cell>
          <cell r="F518" t="str">
            <v/>
          </cell>
          <cell r="G518" t="str">
            <v/>
          </cell>
          <cell r="H518" t="str">
            <v/>
          </cell>
        </row>
        <row r="519">
          <cell r="A519">
            <v>517</v>
          </cell>
          <cell r="B519" t="str">
            <v/>
          </cell>
          <cell r="C519" t="str">
            <v/>
          </cell>
          <cell r="D519" t="str">
            <v/>
          </cell>
          <cell r="E519" t="str">
            <v/>
          </cell>
          <cell r="F519" t="str">
            <v/>
          </cell>
          <cell r="G519" t="str">
            <v/>
          </cell>
          <cell r="H519" t="str">
            <v/>
          </cell>
        </row>
        <row r="520">
          <cell r="A520">
            <v>518</v>
          </cell>
          <cell r="B520" t="str">
            <v/>
          </cell>
          <cell r="C520" t="str">
            <v/>
          </cell>
          <cell r="D520" t="str">
            <v/>
          </cell>
          <cell r="E520" t="str">
            <v/>
          </cell>
          <cell r="F520" t="str">
            <v/>
          </cell>
          <cell r="G520" t="str">
            <v/>
          </cell>
          <cell r="H520" t="str">
            <v/>
          </cell>
        </row>
        <row r="521">
          <cell r="A521">
            <v>519</v>
          </cell>
          <cell r="B521" t="str">
            <v/>
          </cell>
          <cell r="C521" t="str">
            <v/>
          </cell>
          <cell r="D521" t="str">
            <v/>
          </cell>
          <cell r="E521" t="str">
            <v/>
          </cell>
          <cell r="F521" t="str">
            <v/>
          </cell>
          <cell r="G521" t="str">
            <v/>
          </cell>
          <cell r="H521" t="str">
            <v/>
          </cell>
        </row>
        <row r="522">
          <cell r="A522">
            <v>520</v>
          </cell>
          <cell r="B522" t="str">
            <v/>
          </cell>
          <cell r="C522" t="str">
            <v/>
          </cell>
          <cell r="D522" t="str">
            <v/>
          </cell>
          <cell r="E522" t="str">
            <v/>
          </cell>
          <cell r="F522" t="str">
            <v/>
          </cell>
          <cell r="G522" t="str">
            <v/>
          </cell>
          <cell r="H522" t="str">
            <v/>
          </cell>
        </row>
        <row r="523">
          <cell r="A523">
            <v>521</v>
          </cell>
          <cell r="B523" t="str">
            <v/>
          </cell>
          <cell r="C523" t="str">
            <v/>
          </cell>
          <cell r="D523" t="str">
            <v/>
          </cell>
          <cell r="E523" t="str">
            <v/>
          </cell>
          <cell r="F523" t="str">
            <v/>
          </cell>
          <cell r="G523" t="str">
            <v/>
          </cell>
          <cell r="H523" t="str">
            <v/>
          </cell>
        </row>
        <row r="524">
          <cell r="A524">
            <v>522</v>
          </cell>
          <cell r="B524" t="str">
            <v/>
          </cell>
          <cell r="C524" t="str">
            <v/>
          </cell>
          <cell r="D524" t="str">
            <v/>
          </cell>
          <cell r="E524" t="str">
            <v/>
          </cell>
          <cell r="F524" t="str">
            <v/>
          </cell>
          <cell r="G524" t="str">
            <v/>
          </cell>
          <cell r="H524" t="str">
            <v/>
          </cell>
        </row>
        <row r="525">
          <cell r="A525">
            <v>523</v>
          </cell>
          <cell r="B525" t="str">
            <v/>
          </cell>
          <cell r="C525" t="str">
            <v/>
          </cell>
          <cell r="D525" t="str">
            <v/>
          </cell>
          <cell r="E525" t="str">
            <v/>
          </cell>
          <cell r="F525" t="str">
            <v/>
          </cell>
          <cell r="G525" t="str">
            <v/>
          </cell>
          <cell r="H525" t="str">
            <v/>
          </cell>
        </row>
        <row r="526">
          <cell r="A526">
            <v>524</v>
          </cell>
          <cell r="B526" t="str">
            <v/>
          </cell>
          <cell r="C526" t="str">
            <v/>
          </cell>
          <cell r="D526" t="str">
            <v/>
          </cell>
          <cell r="E526" t="str">
            <v/>
          </cell>
          <cell r="F526" t="str">
            <v/>
          </cell>
          <cell r="G526" t="str">
            <v/>
          </cell>
          <cell r="H526" t="str">
            <v/>
          </cell>
        </row>
        <row r="527">
          <cell r="A527">
            <v>525</v>
          </cell>
          <cell r="B527" t="str">
            <v/>
          </cell>
          <cell r="C527" t="str">
            <v/>
          </cell>
          <cell r="D527" t="str">
            <v/>
          </cell>
          <cell r="E527" t="str">
            <v/>
          </cell>
          <cell r="F527" t="str">
            <v/>
          </cell>
          <cell r="G527" t="str">
            <v/>
          </cell>
          <cell r="H527" t="str">
            <v/>
          </cell>
        </row>
        <row r="528">
          <cell r="A528">
            <v>526</v>
          </cell>
          <cell r="B528" t="str">
            <v/>
          </cell>
          <cell r="C528" t="str">
            <v/>
          </cell>
          <cell r="D528" t="str">
            <v/>
          </cell>
          <cell r="E528" t="str">
            <v/>
          </cell>
          <cell r="F528" t="str">
            <v/>
          </cell>
          <cell r="G528" t="str">
            <v/>
          </cell>
          <cell r="H528" t="str">
            <v/>
          </cell>
        </row>
        <row r="529">
          <cell r="A529">
            <v>527</v>
          </cell>
          <cell r="B529" t="str">
            <v/>
          </cell>
          <cell r="C529" t="str">
            <v/>
          </cell>
          <cell r="D529" t="str">
            <v/>
          </cell>
          <cell r="E529" t="str">
            <v/>
          </cell>
          <cell r="F529" t="str">
            <v/>
          </cell>
          <cell r="G529" t="str">
            <v/>
          </cell>
          <cell r="H529" t="str">
            <v/>
          </cell>
        </row>
        <row r="530">
          <cell r="A530">
            <v>528</v>
          </cell>
          <cell r="B530" t="str">
            <v/>
          </cell>
          <cell r="C530" t="str">
            <v/>
          </cell>
          <cell r="D530" t="str">
            <v/>
          </cell>
          <cell r="E530" t="str">
            <v/>
          </cell>
          <cell r="F530" t="str">
            <v/>
          </cell>
          <cell r="G530" t="str">
            <v/>
          </cell>
          <cell r="H530" t="str">
            <v/>
          </cell>
        </row>
        <row r="531">
          <cell r="A531">
            <v>529</v>
          </cell>
          <cell r="B531" t="str">
            <v/>
          </cell>
          <cell r="C531" t="str">
            <v/>
          </cell>
          <cell r="D531" t="str">
            <v/>
          </cell>
          <cell r="E531" t="str">
            <v/>
          </cell>
          <cell r="F531" t="str">
            <v/>
          </cell>
          <cell r="G531" t="str">
            <v/>
          </cell>
          <cell r="H531" t="str">
            <v/>
          </cell>
        </row>
        <row r="532">
          <cell r="A532">
            <v>530</v>
          </cell>
          <cell r="B532" t="str">
            <v/>
          </cell>
          <cell r="C532" t="str">
            <v/>
          </cell>
          <cell r="D532" t="str">
            <v/>
          </cell>
          <cell r="E532" t="str">
            <v/>
          </cell>
          <cell r="F532" t="str">
            <v/>
          </cell>
          <cell r="G532" t="str">
            <v/>
          </cell>
          <cell r="H532" t="str">
            <v/>
          </cell>
        </row>
        <row r="533">
          <cell r="A533">
            <v>531</v>
          </cell>
          <cell r="B533" t="str">
            <v/>
          </cell>
          <cell r="C533" t="str">
            <v/>
          </cell>
          <cell r="D533" t="str">
            <v/>
          </cell>
          <cell r="E533" t="str">
            <v/>
          </cell>
          <cell r="F533" t="str">
            <v/>
          </cell>
          <cell r="G533" t="str">
            <v/>
          </cell>
          <cell r="H533" t="str">
            <v/>
          </cell>
        </row>
        <row r="534">
          <cell r="A534">
            <v>532</v>
          </cell>
          <cell r="B534" t="str">
            <v/>
          </cell>
          <cell r="C534" t="str">
            <v/>
          </cell>
          <cell r="D534" t="str">
            <v/>
          </cell>
          <cell r="E534" t="str">
            <v/>
          </cell>
          <cell r="F534" t="str">
            <v/>
          </cell>
          <cell r="G534" t="str">
            <v/>
          </cell>
          <cell r="H534" t="str">
            <v/>
          </cell>
        </row>
        <row r="535">
          <cell r="A535">
            <v>533</v>
          </cell>
          <cell r="B535" t="str">
            <v/>
          </cell>
          <cell r="C535" t="str">
            <v/>
          </cell>
          <cell r="D535" t="str">
            <v/>
          </cell>
          <cell r="E535" t="str">
            <v/>
          </cell>
          <cell r="F535" t="str">
            <v/>
          </cell>
          <cell r="G535" t="str">
            <v/>
          </cell>
          <cell r="H535" t="str">
            <v/>
          </cell>
        </row>
        <row r="536">
          <cell r="A536">
            <v>534</v>
          </cell>
          <cell r="B536" t="str">
            <v/>
          </cell>
          <cell r="C536" t="str">
            <v/>
          </cell>
          <cell r="D536" t="str">
            <v/>
          </cell>
          <cell r="E536" t="str">
            <v/>
          </cell>
          <cell r="F536" t="str">
            <v/>
          </cell>
          <cell r="G536" t="str">
            <v/>
          </cell>
          <cell r="H536" t="str">
            <v/>
          </cell>
        </row>
        <row r="537">
          <cell r="A537">
            <v>535</v>
          </cell>
          <cell r="B537" t="str">
            <v/>
          </cell>
          <cell r="C537" t="str">
            <v/>
          </cell>
          <cell r="D537" t="str">
            <v/>
          </cell>
          <cell r="E537" t="str">
            <v/>
          </cell>
          <cell r="F537" t="str">
            <v/>
          </cell>
          <cell r="G537" t="str">
            <v/>
          </cell>
          <cell r="H537" t="str">
            <v/>
          </cell>
        </row>
        <row r="538">
          <cell r="A538">
            <v>536</v>
          </cell>
          <cell r="B538" t="str">
            <v/>
          </cell>
          <cell r="C538" t="str">
            <v/>
          </cell>
          <cell r="D538" t="str">
            <v/>
          </cell>
          <cell r="E538" t="str">
            <v/>
          </cell>
          <cell r="F538" t="str">
            <v/>
          </cell>
          <cell r="G538" t="str">
            <v/>
          </cell>
          <cell r="H538" t="str">
            <v/>
          </cell>
        </row>
        <row r="539">
          <cell r="A539">
            <v>537</v>
          </cell>
          <cell r="B539" t="str">
            <v/>
          </cell>
          <cell r="C539" t="str">
            <v/>
          </cell>
          <cell r="D539" t="str">
            <v/>
          </cell>
          <cell r="E539" t="str">
            <v/>
          </cell>
          <cell r="F539" t="str">
            <v/>
          </cell>
          <cell r="G539" t="str">
            <v/>
          </cell>
          <cell r="H539" t="str">
            <v/>
          </cell>
        </row>
        <row r="540">
          <cell r="A540">
            <v>538</v>
          </cell>
          <cell r="B540" t="str">
            <v/>
          </cell>
          <cell r="C540" t="str">
            <v/>
          </cell>
          <cell r="D540" t="str">
            <v/>
          </cell>
          <cell r="E540" t="str">
            <v/>
          </cell>
          <cell r="F540" t="str">
            <v/>
          </cell>
          <cell r="G540" t="str">
            <v/>
          </cell>
          <cell r="H540" t="str">
            <v/>
          </cell>
        </row>
        <row r="541">
          <cell r="A541">
            <v>539</v>
          </cell>
          <cell r="B541" t="str">
            <v/>
          </cell>
          <cell r="C541" t="str">
            <v/>
          </cell>
          <cell r="D541" t="str">
            <v/>
          </cell>
          <cell r="E541" t="str">
            <v/>
          </cell>
          <cell r="F541" t="str">
            <v/>
          </cell>
          <cell r="G541" t="str">
            <v/>
          </cell>
          <cell r="H541" t="str">
            <v/>
          </cell>
        </row>
        <row r="542">
          <cell r="A542">
            <v>540</v>
          </cell>
          <cell r="B542" t="str">
            <v/>
          </cell>
          <cell r="C542" t="str">
            <v/>
          </cell>
          <cell r="D542" t="str">
            <v/>
          </cell>
          <cell r="E542" t="str">
            <v/>
          </cell>
          <cell r="F542" t="str">
            <v/>
          </cell>
          <cell r="G542" t="str">
            <v/>
          </cell>
          <cell r="H542" t="str">
            <v/>
          </cell>
        </row>
        <row r="543">
          <cell r="A543">
            <v>541</v>
          </cell>
          <cell r="B543" t="str">
            <v/>
          </cell>
          <cell r="C543" t="str">
            <v/>
          </cell>
          <cell r="D543" t="str">
            <v/>
          </cell>
          <cell r="E543" t="str">
            <v/>
          </cell>
          <cell r="F543" t="str">
            <v/>
          </cell>
          <cell r="G543" t="str">
            <v/>
          </cell>
          <cell r="H543" t="str">
            <v/>
          </cell>
        </row>
        <row r="544">
          <cell r="A544">
            <v>542</v>
          </cell>
          <cell r="B544" t="str">
            <v/>
          </cell>
          <cell r="C544" t="str">
            <v/>
          </cell>
          <cell r="D544" t="str">
            <v/>
          </cell>
          <cell r="E544" t="str">
            <v/>
          </cell>
          <cell r="F544" t="str">
            <v/>
          </cell>
          <cell r="G544" t="str">
            <v/>
          </cell>
          <cell r="H544" t="str">
            <v/>
          </cell>
        </row>
        <row r="545">
          <cell r="A545">
            <v>543</v>
          </cell>
          <cell r="B545" t="str">
            <v/>
          </cell>
          <cell r="C545" t="str">
            <v/>
          </cell>
          <cell r="D545" t="str">
            <v/>
          </cell>
          <cell r="E545" t="str">
            <v/>
          </cell>
          <cell r="F545" t="str">
            <v/>
          </cell>
          <cell r="G545" t="str">
            <v/>
          </cell>
          <cell r="H545" t="str">
            <v/>
          </cell>
        </row>
        <row r="546">
          <cell r="A546">
            <v>544</v>
          </cell>
          <cell r="B546" t="str">
            <v/>
          </cell>
          <cell r="C546" t="str">
            <v/>
          </cell>
          <cell r="D546" t="str">
            <v/>
          </cell>
          <cell r="E546" t="str">
            <v/>
          </cell>
          <cell r="F546" t="str">
            <v/>
          </cell>
          <cell r="G546" t="str">
            <v/>
          </cell>
          <cell r="H546" t="str">
            <v/>
          </cell>
        </row>
        <row r="547">
          <cell r="A547">
            <v>545</v>
          </cell>
          <cell r="B547" t="str">
            <v/>
          </cell>
          <cell r="C547" t="str">
            <v/>
          </cell>
          <cell r="D547" t="str">
            <v/>
          </cell>
          <cell r="E547" t="str">
            <v/>
          </cell>
          <cell r="F547" t="str">
            <v/>
          </cell>
          <cell r="G547" t="str">
            <v/>
          </cell>
          <cell r="H547" t="str">
            <v/>
          </cell>
        </row>
        <row r="548">
          <cell r="A548">
            <v>546</v>
          </cell>
          <cell r="B548" t="str">
            <v/>
          </cell>
          <cell r="C548" t="str">
            <v/>
          </cell>
          <cell r="D548" t="str">
            <v/>
          </cell>
          <cell r="E548" t="str">
            <v/>
          </cell>
          <cell r="F548" t="str">
            <v/>
          </cell>
          <cell r="G548" t="str">
            <v/>
          </cell>
          <cell r="H548" t="str">
            <v/>
          </cell>
        </row>
        <row r="549">
          <cell r="A549">
            <v>547</v>
          </cell>
          <cell r="B549" t="str">
            <v/>
          </cell>
          <cell r="C549" t="str">
            <v/>
          </cell>
          <cell r="D549" t="str">
            <v/>
          </cell>
          <cell r="E549" t="str">
            <v/>
          </cell>
          <cell r="F549" t="str">
            <v/>
          </cell>
          <cell r="G549" t="str">
            <v/>
          </cell>
          <cell r="H549" t="str">
            <v/>
          </cell>
        </row>
        <row r="550">
          <cell r="A550">
            <v>548</v>
          </cell>
          <cell r="B550" t="str">
            <v/>
          </cell>
          <cell r="C550" t="str">
            <v/>
          </cell>
          <cell r="D550" t="str">
            <v/>
          </cell>
          <cell r="E550" t="str">
            <v/>
          </cell>
          <cell r="F550" t="str">
            <v/>
          </cell>
          <cell r="G550" t="str">
            <v/>
          </cell>
          <cell r="H550" t="str">
            <v/>
          </cell>
        </row>
        <row r="551">
          <cell r="A551">
            <v>549</v>
          </cell>
          <cell r="B551" t="str">
            <v/>
          </cell>
          <cell r="C551" t="str">
            <v/>
          </cell>
          <cell r="D551" t="str">
            <v/>
          </cell>
          <cell r="E551" t="str">
            <v/>
          </cell>
          <cell r="F551" t="str">
            <v/>
          </cell>
          <cell r="G551" t="str">
            <v/>
          </cell>
          <cell r="H551" t="str">
            <v/>
          </cell>
        </row>
        <row r="552">
          <cell r="A552">
            <v>550</v>
          </cell>
          <cell r="B552" t="str">
            <v/>
          </cell>
          <cell r="C552" t="str">
            <v/>
          </cell>
          <cell r="D552" t="str">
            <v/>
          </cell>
          <cell r="E552" t="str">
            <v/>
          </cell>
          <cell r="F552" t="str">
            <v/>
          </cell>
          <cell r="G552" t="str">
            <v/>
          </cell>
          <cell r="H552" t="str">
            <v/>
          </cell>
        </row>
        <row r="553">
          <cell r="A553">
            <v>551</v>
          </cell>
          <cell r="B553" t="str">
            <v/>
          </cell>
          <cell r="C553" t="str">
            <v/>
          </cell>
          <cell r="D553" t="str">
            <v/>
          </cell>
          <cell r="E553" t="str">
            <v/>
          </cell>
          <cell r="F553" t="str">
            <v/>
          </cell>
          <cell r="G553" t="str">
            <v/>
          </cell>
          <cell r="H553" t="str">
            <v/>
          </cell>
        </row>
        <row r="554">
          <cell r="A554">
            <v>552</v>
          </cell>
          <cell r="B554" t="str">
            <v/>
          </cell>
          <cell r="C554" t="str">
            <v/>
          </cell>
          <cell r="D554" t="str">
            <v/>
          </cell>
          <cell r="E554" t="str">
            <v/>
          </cell>
          <cell r="F554" t="str">
            <v/>
          </cell>
          <cell r="G554" t="str">
            <v/>
          </cell>
          <cell r="H554" t="str">
            <v/>
          </cell>
        </row>
        <row r="555">
          <cell r="A555">
            <v>553</v>
          </cell>
          <cell r="B555" t="str">
            <v/>
          </cell>
          <cell r="C555" t="str">
            <v/>
          </cell>
          <cell r="D555" t="str">
            <v/>
          </cell>
          <cell r="E555" t="str">
            <v/>
          </cell>
          <cell r="F555" t="str">
            <v/>
          </cell>
          <cell r="G555" t="str">
            <v/>
          </cell>
          <cell r="H555" t="str">
            <v/>
          </cell>
        </row>
        <row r="556">
          <cell r="A556">
            <v>554</v>
          </cell>
          <cell r="B556" t="str">
            <v/>
          </cell>
          <cell r="C556" t="str">
            <v/>
          </cell>
          <cell r="D556" t="str">
            <v/>
          </cell>
          <cell r="E556" t="str">
            <v/>
          </cell>
          <cell r="F556" t="str">
            <v/>
          </cell>
          <cell r="G556" t="str">
            <v/>
          </cell>
          <cell r="H556" t="str">
            <v/>
          </cell>
        </row>
        <row r="557">
          <cell r="A557">
            <v>555</v>
          </cell>
          <cell r="B557" t="str">
            <v/>
          </cell>
          <cell r="C557" t="str">
            <v/>
          </cell>
          <cell r="D557" t="str">
            <v/>
          </cell>
          <cell r="E557" t="str">
            <v/>
          </cell>
          <cell r="F557" t="str">
            <v/>
          </cell>
          <cell r="G557" t="str">
            <v/>
          </cell>
          <cell r="H557" t="str">
            <v/>
          </cell>
        </row>
        <row r="558">
          <cell r="A558">
            <v>556</v>
          </cell>
          <cell r="B558" t="str">
            <v/>
          </cell>
          <cell r="C558" t="str">
            <v/>
          </cell>
          <cell r="D558" t="str">
            <v/>
          </cell>
          <cell r="E558" t="str">
            <v/>
          </cell>
          <cell r="F558" t="str">
            <v/>
          </cell>
          <cell r="G558" t="str">
            <v/>
          </cell>
          <cell r="H558" t="str">
            <v/>
          </cell>
        </row>
        <row r="559">
          <cell r="A559">
            <v>557</v>
          </cell>
          <cell r="B559" t="str">
            <v/>
          </cell>
          <cell r="C559" t="str">
            <v/>
          </cell>
          <cell r="D559" t="str">
            <v/>
          </cell>
          <cell r="E559" t="str">
            <v/>
          </cell>
          <cell r="F559" t="str">
            <v/>
          </cell>
          <cell r="G559" t="str">
            <v/>
          </cell>
          <cell r="H559" t="str">
            <v/>
          </cell>
        </row>
        <row r="560">
          <cell r="A560">
            <v>558</v>
          </cell>
          <cell r="B560" t="str">
            <v/>
          </cell>
          <cell r="C560" t="str">
            <v/>
          </cell>
          <cell r="D560" t="str">
            <v/>
          </cell>
          <cell r="E560" t="str">
            <v/>
          </cell>
          <cell r="F560" t="str">
            <v/>
          </cell>
          <cell r="G560" t="str">
            <v/>
          </cell>
          <cell r="H560" t="str">
            <v/>
          </cell>
        </row>
        <row r="561">
          <cell r="A561">
            <v>559</v>
          </cell>
          <cell r="B561" t="str">
            <v/>
          </cell>
          <cell r="C561" t="str">
            <v/>
          </cell>
          <cell r="D561" t="str">
            <v/>
          </cell>
          <cell r="E561" t="str">
            <v/>
          </cell>
          <cell r="F561" t="str">
            <v/>
          </cell>
          <cell r="G561" t="str">
            <v/>
          </cell>
          <cell r="H561" t="str">
            <v/>
          </cell>
        </row>
        <row r="562">
          <cell r="A562">
            <v>560</v>
          </cell>
          <cell r="B562" t="str">
            <v/>
          </cell>
          <cell r="C562" t="str">
            <v/>
          </cell>
          <cell r="D562" t="str">
            <v/>
          </cell>
          <cell r="E562" t="str">
            <v/>
          </cell>
          <cell r="F562" t="str">
            <v/>
          </cell>
          <cell r="G562" t="str">
            <v/>
          </cell>
          <cell r="H562" t="str">
            <v/>
          </cell>
        </row>
      </sheetData>
      <sheetData sheetId="28"/>
      <sheetData sheetId="29"/>
      <sheetData sheetId="30">
        <row r="4">
          <cell r="A4" t="str">
            <v>TBC</v>
          </cell>
        </row>
        <row r="5">
          <cell r="A5" t="str">
            <v>N/A</v>
          </cell>
        </row>
        <row r="6">
          <cell r="A6" t="str">
            <v>A3B  3.003 V/H*  A18  14.5  3/4  Other</v>
          </cell>
        </row>
        <row r="7">
          <cell r="A7" t="str">
            <v>A3B  3.021  A9  7.2   3/4  SES</v>
          </cell>
        </row>
        <row r="8">
          <cell r="A8" t="str">
            <v>ABS 3A  EUH F01  3A 24A  20 M  3/5  SIS</v>
          </cell>
        </row>
        <row r="9">
          <cell r="A9" t="str">
            <v>ABS3A  S3  3A18  14.8  3/4  EBU</v>
          </cell>
        </row>
        <row r="10">
          <cell r="A10" t="str">
            <v>ABS3A  S3  3D18  14.8  3/4  EBU</v>
          </cell>
        </row>
        <row r="11">
          <cell r="A11" t="str">
            <v>ABS3A  S3  3G18  14.8  3/4  EBU</v>
          </cell>
        </row>
        <row r="12">
          <cell r="A12" t="str">
            <v>ABS3A  S3  3L18  14.8  3/4  EBU</v>
          </cell>
        </row>
        <row r="13">
          <cell r="A13" t="str">
            <v>E10B  106_006  D+  7.2   3/4  SES</v>
          </cell>
        </row>
        <row r="14">
          <cell r="A14" t="str">
            <v>E10B  EVS72  EVS72A72  70.0  3/4  EBU</v>
          </cell>
        </row>
        <row r="15">
          <cell r="A15" t="str">
            <v>E10B  EVS72 (SPOT 105)   - 72 MHz SERVICE 06 ASI  70.0  3/4  EBU</v>
          </cell>
        </row>
        <row r="16">
          <cell r="A16" t="str">
            <v>E10B  EVS72 (SPOT 105)   EVS72A72 MCPC Service 05  70.0  3/4  EBU</v>
          </cell>
        </row>
        <row r="17">
          <cell r="A17" t="str">
            <v>E10B  EVS72 (SPOT 105)  EVS72A72  - Service 11  70.0  3/4  EBU</v>
          </cell>
        </row>
        <row r="18">
          <cell r="A18" t="str">
            <v>E10B  EVS72 (SPOT 105)  EVS72A72 - MCPC - SERVICE 08  70.0  3/4  EBU</v>
          </cell>
        </row>
        <row r="19">
          <cell r="A19" t="str">
            <v>E10B  EVS72 (SPOT 105)  EVS72A72 - MCPC SERVICE 06  70.0  3/4  EBU</v>
          </cell>
        </row>
        <row r="20">
          <cell r="A20" t="str">
            <v>E10B  EVS72 (SPOT 105)  EVS72A72 - MCPC SERVICE 07  70.0  3/4  EBU</v>
          </cell>
        </row>
        <row r="21">
          <cell r="A21" t="str">
            <v>E10B  EVS72 (SPOT 105)  EVS72A72 - Service 01 ASI  70.0  3/4  EBU</v>
          </cell>
        </row>
        <row r="22">
          <cell r="A22" t="str">
            <v>E10B  EVS72 (SPOT 105)  EVS72A72 - Service 09  70.0  3/4  EBU</v>
          </cell>
        </row>
        <row r="23">
          <cell r="A23" t="str">
            <v>E10B  EVS72 (SPOT 105)  EVS72A72 - Service 10  70.0  3/4  EBU</v>
          </cell>
        </row>
        <row r="24">
          <cell r="A24" t="str">
            <v>E10B  EVS72 (SPOT 105)  EVS72A72 - Service 12  70.0  3/4  EBU</v>
          </cell>
        </row>
        <row r="25">
          <cell r="A25" t="str">
            <v>E10B  EVS72 (SPOT 105)  EVS72A72 - SERVICE 13  70.0  3/4  EBU</v>
          </cell>
        </row>
        <row r="26">
          <cell r="A26" t="str">
            <v>E10B  EVS72 (SPOT 105)  EVS72A72 - Service 14  70.0  3/4  EBU</v>
          </cell>
        </row>
        <row r="27">
          <cell r="A27" t="str">
            <v>E10B  EVS72 (SPOT 105)  EVS72A72 MCPC Service 05  70.0  3/4  EBU</v>
          </cell>
        </row>
        <row r="28">
          <cell r="A28" t="str">
            <v>E10B  EVS72 (SPOT 105)  EVS72A72 MCPC SERVICE 05  70.0  3/4  EBU</v>
          </cell>
        </row>
        <row r="29">
          <cell r="A29" t="str">
            <v>E10B  EVS72 (SPOT 105)  EVS7SA72 MCPC SERVICE 02 ASI  70.0  3/4  EBU</v>
          </cell>
        </row>
        <row r="30">
          <cell r="A30" t="str">
            <v>E10B  MCPC  GH UPPER  9.87  3/4  EBU</v>
          </cell>
        </row>
        <row r="31">
          <cell r="A31" t="str">
            <v>E10B  OU_101  EF UPPER  9.87  3/4  EBU</v>
          </cell>
        </row>
        <row r="32">
          <cell r="A32" t="str">
            <v>E10B  OU_104  CD UPPER  9.87  3/4  EBU</v>
          </cell>
        </row>
        <row r="33">
          <cell r="A33" t="str">
            <v>E10B  OU_105  CD Lower  9.6   3/4  GCUK</v>
          </cell>
        </row>
        <row r="34">
          <cell r="A34" t="str">
            <v>E10B  OU_105  CD LOWER  9.87  3/4  EBU</v>
          </cell>
        </row>
        <row r="35">
          <cell r="A35" t="str">
            <v>E10B  OU_105  CD LOWER - MCPC Service 01  11.7  32/45  EBU</v>
          </cell>
        </row>
        <row r="36">
          <cell r="A36" t="str">
            <v>E10B  OU_105  CD LOWER - MCPC Service 02  11.7  32/45  EBU</v>
          </cell>
        </row>
        <row r="37">
          <cell r="A37" t="str">
            <v>E10B  OU_105  CD+  Service 02  17.6  19/30  EBU</v>
          </cell>
        </row>
        <row r="38">
          <cell r="A38" t="str">
            <v>E10B  OU_105  CD+  Service 03  17.6  19/30  EBU</v>
          </cell>
        </row>
        <row r="39">
          <cell r="A39" t="str">
            <v>E10B  OU_105  CD+ Service 01  17.6  19/30  EBU</v>
          </cell>
        </row>
        <row r="40">
          <cell r="A40" t="str">
            <v>E10B  OU_105  CF - MCPC Service 01  35.2  19/30  EBU</v>
          </cell>
        </row>
        <row r="41">
          <cell r="A41" t="str">
            <v>E10B  OU_105  CF - MCPC Service 02  35.2  19/30  EBU</v>
          </cell>
        </row>
        <row r="42">
          <cell r="A42" t="str">
            <v>E10B  OU_105  CF - MCPC Service 03  35.2  19/30  EBU</v>
          </cell>
        </row>
        <row r="43">
          <cell r="A43" t="str">
            <v>E10B  OU_105  CF - MCPC Service 04  35.2  19/30  EBU</v>
          </cell>
        </row>
        <row r="44">
          <cell r="A44" t="str">
            <v>E10B  OU_105  CF - MCPC Service 05  35.2  19/30  EBU</v>
          </cell>
        </row>
        <row r="45">
          <cell r="A45" t="str">
            <v>E10B  OU_105  DE MIDDLE  9.87  3/4  EBU</v>
          </cell>
        </row>
        <row r="46">
          <cell r="A46" t="str">
            <v>E10B  OU_105  EF UPPER - 12 MHz  SERVICE 01  11.7  32/45  EBU</v>
          </cell>
        </row>
        <row r="47">
          <cell r="A47" t="str">
            <v>E10B  OU_105  EF UPPER - 12 MHz SERVICE 02  11.7  32/45  EBU</v>
          </cell>
        </row>
        <row r="48">
          <cell r="A48" t="str">
            <v>E10B  OU_105  EF UPPER  9.87  3/4  EBU</v>
          </cell>
        </row>
        <row r="49">
          <cell r="A49" t="str">
            <v>E10B  OU_105  EF+ - 18 MHz SERVICE 01  17.6  3/4  EBU</v>
          </cell>
        </row>
        <row r="50">
          <cell r="A50" t="str">
            <v>E10B  OU_105  EF+ - Service 02  17.6  19/30  EBU</v>
          </cell>
        </row>
        <row r="51">
          <cell r="A51" t="str">
            <v>E10B  OU_105  EF+ - Service 03  17.6  19/30  EBU</v>
          </cell>
        </row>
        <row r="52">
          <cell r="A52" t="str">
            <v>E10B  OU_105_001  F+  7.2   3/4  EBU</v>
          </cell>
        </row>
        <row r="53">
          <cell r="A53" t="str">
            <v>E10B  OU_107  D+  7.2   3/4  SES</v>
          </cell>
        </row>
        <row r="54">
          <cell r="A54" t="str">
            <v>E12WB  D03  CD Lower  9.87  3/4  Other</v>
          </cell>
        </row>
        <row r="55">
          <cell r="A55" t="str">
            <v>E12WB  D07  F  7.2   3/4  Other</v>
          </cell>
        </row>
        <row r="56">
          <cell r="A56" t="str">
            <v>E12WB  F01  F  7.2  3/4  SES</v>
          </cell>
        </row>
        <row r="57">
          <cell r="A57" t="str">
            <v>E12WB  F02  G  7.2   3/4  Other</v>
          </cell>
        </row>
        <row r="58">
          <cell r="A58" t="str">
            <v>E12WB  F06  D+  7.2   3/4  Other</v>
          </cell>
        </row>
        <row r="59">
          <cell r="A59" t="str">
            <v>E12WB  F07  D  7.12  3/4  SES</v>
          </cell>
        </row>
        <row r="60">
          <cell r="A60" t="str">
            <v>E12WB  F07  F  7.2   3/4  SES</v>
          </cell>
        </row>
        <row r="61">
          <cell r="A61" t="str">
            <v>E12WB  F09  C  7.2   3/4  SES</v>
          </cell>
        </row>
        <row r="62">
          <cell r="A62" t="str">
            <v>E13G  134  CD Lower  9.6   3/4  GCUK</v>
          </cell>
        </row>
        <row r="63">
          <cell r="A63" t="str">
            <v>E13G  134  DE MIDDLE  9.6   3/4  Other</v>
          </cell>
        </row>
        <row r="64">
          <cell r="A64" t="str">
            <v>E13G  134  EF UPPER  9.6   3/4  Other</v>
          </cell>
        </row>
        <row r="65">
          <cell r="A65" t="str">
            <v>E13G  156  CD LOWER  9.6   3/4  Other</v>
          </cell>
        </row>
        <row r="66">
          <cell r="A66" t="str">
            <v>E13G  156  EF UPPER  9.6   3/4  GCUK</v>
          </cell>
        </row>
        <row r="67">
          <cell r="A67" t="str">
            <v>E13G  TXP 156  CD LOWER  9.6   3/4  GCUK</v>
          </cell>
        </row>
        <row r="68">
          <cell r="A68" t="str">
            <v>E16a  B1  F+  7.2   3/4  SES</v>
          </cell>
        </row>
        <row r="69">
          <cell r="A69" t="str">
            <v>E16a  B2  G  7.2   3/4  EBU</v>
          </cell>
        </row>
        <row r="70">
          <cell r="A70" t="str">
            <v>E16a  B2  H  7.2   3/4  EBU</v>
          </cell>
        </row>
        <row r="71">
          <cell r="A71" t="str">
            <v>E16a  B3  H  7.2   3/4  SES</v>
          </cell>
        </row>
        <row r="72">
          <cell r="A72" t="str">
            <v>E16a  B3  H (DL 11106.500)  7.2   3/4  SES</v>
          </cell>
        </row>
        <row r="73">
          <cell r="A73" t="str">
            <v>E16a  B5  CH F   7.2   3/4  EBU</v>
          </cell>
        </row>
        <row r="74">
          <cell r="A74" t="str">
            <v>E16a  B5  CH G   7.2   3/4  EBU</v>
          </cell>
        </row>
        <row r="75">
          <cell r="A75" t="str">
            <v>E16a  B5  D  7.2   3/4  SES</v>
          </cell>
        </row>
        <row r="76">
          <cell r="A76" t="str">
            <v>E16a  D08  F  7.12  3/4  SES</v>
          </cell>
        </row>
        <row r="77">
          <cell r="A77" t="str">
            <v>E16a  F01  Double ECHO  6332  2/3  Other</v>
          </cell>
        </row>
        <row r="78">
          <cell r="A78" t="str">
            <v>E16a  F1  GH UPPER  9.87  3/4  EBU</v>
          </cell>
        </row>
        <row r="79">
          <cell r="A79" t="str">
            <v>E16a  F3  D+  7.2   3/4  SES</v>
          </cell>
        </row>
        <row r="80">
          <cell r="A80" t="str">
            <v>E3B  14C  D+  7.2   3/4  GCUK</v>
          </cell>
        </row>
        <row r="81">
          <cell r="A81" t="str">
            <v>E3B  F03  G  7.2   3/4  GCUK</v>
          </cell>
        </row>
        <row r="82">
          <cell r="A82" t="str">
            <v>E3B  F05  D+  7.2   3/4  SES</v>
          </cell>
        </row>
        <row r="83">
          <cell r="A83" t="str">
            <v>E7a  D10  C+  7.2   3/4  Other</v>
          </cell>
        </row>
        <row r="84">
          <cell r="A84" t="str">
            <v>E7a  D10  CD Middle  9.87  3/4  Other</v>
          </cell>
        </row>
        <row r="85">
          <cell r="A85" t="str">
            <v>E7a  D10  D  7.2   3/4  SES</v>
          </cell>
        </row>
        <row r="86">
          <cell r="A86" t="str">
            <v>E7a  D10  DE  14.4  3/4 SES</v>
          </cell>
        </row>
        <row r="87">
          <cell r="A87" t="str">
            <v>E7a  D10  E  7.2   3/4  SES</v>
          </cell>
        </row>
        <row r="88">
          <cell r="A88" t="str">
            <v>E7a  D10  F+  7.2   3/4  SES</v>
          </cell>
        </row>
        <row r="89">
          <cell r="A89" t="str">
            <v>E7a  D10  FG+ LOWER  9.87  3/4  Other</v>
          </cell>
        </row>
        <row r="90">
          <cell r="A90" t="str">
            <v>E7a  DW5  G+  7.2   3/4  SES</v>
          </cell>
        </row>
        <row r="91">
          <cell r="A91" t="str">
            <v>E7a  F01 OCC  F  7.2   3/4  EBU</v>
          </cell>
        </row>
        <row r="92">
          <cell r="A92" t="str">
            <v>E7a  F01 OCC  F  7.2   3/4  EBU</v>
          </cell>
        </row>
        <row r="93">
          <cell r="A93" t="str">
            <v>E7a  F4  F+  7.2   3/4  SES</v>
          </cell>
        </row>
        <row r="94">
          <cell r="A94" t="str">
            <v>E7b  B1  1A12  9.87  3/4  EBU (420)</v>
          </cell>
        </row>
        <row r="95">
          <cell r="A95" t="str">
            <v>E7b  B1  1A12  9.87  3/4  EBU (422)</v>
          </cell>
        </row>
        <row r="96">
          <cell r="A96" t="str">
            <v>E7b  B1  1A18  14.4  3/4  EBU</v>
          </cell>
        </row>
        <row r="97">
          <cell r="A97" t="str">
            <v>E7b  B1  1A24  19.2  3/4  EBU</v>
          </cell>
        </row>
        <row r="98">
          <cell r="A98" t="str">
            <v>E7b  B1  1A9  7.2   3/4  EBU</v>
          </cell>
        </row>
        <row r="99">
          <cell r="A99" t="str">
            <v>E7b  B1  1B9  7.2   3/4  EBU</v>
          </cell>
        </row>
        <row r="100">
          <cell r="A100" t="str">
            <v>E7b  B1  1D18  14.4  3/4  EBU</v>
          </cell>
        </row>
        <row r="101">
          <cell r="A101" t="str">
            <v>E7b  B1  1D9   7.2   3/4  EBU</v>
          </cell>
        </row>
        <row r="102">
          <cell r="A102" t="str">
            <v>E7b  B1  1E12  9.87  3/4  EBU</v>
          </cell>
        </row>
        <row r="103">
          <cell r="A103" t="str">
            <v>E7b  B1  1E24  19.2  3/4  EBU</v>
          </cell>
        </row>
        <row r="104">
          <cell r="A104" t="str">
            <v>E7b  B1  1E9  7.2   3/4  EBU</v>
          </cell>
        </row>
        <row r="105">
          <cell r="A105" t="str">
            <v>E7b  B1  1G12  9.87  3/4  EBU</v>
          </cell>
        </row>
        <row r="106">
          <cell r="A106" t="str">
            <v>E7b  B1  1G18  14.4  3/4  EBU</v>
          </cell>
        </row>
        <row r="107">
          <cell r="A107" t="str">
            <v>E7b  B1  1G9  7.2   3/4  EBU</v>
          </cell>
        </row>
        <row r="108">
          <cell r="A108" t="str">
            <v>E7b  B1  1H9  7.2   3/4  EBU</v>
          </cell>
        </row>
        <row r="109">
          <cell r="A109" t="str">
            <v>E7b  B1  1K12  9.87  3/4  EBU</v>
          </cell>
        </row>
        <row r="110">
          <cell r="A110" t="str">
            <v>E7b  B1  1L18  14.4  3/4  EBU</v>
          </cell>
        </row>
        <row r="111">
          <cell r="A111" t="str">
            <v>E7b  B1  1L9  7.2   3/4  EBU</v>
          </cell>
        </row>
        <row r="112">
          <cell r="A112" t="str">
            <v>E7b  B1  1M12  9.87  3/4  EBU</v>
          </cell>
        </row>
        <row r="113">
          <cell r="A113" t="str">
            <v>E7b  B1  1M9   7.2   3/4  EBU</v>
          </cell>
        </row>
        <row r="114">
          <cell r="A114" t="str">
            <v>E7b  B1  1M9  7.2   3/4  EBU</v>
          </cell>
        </row>
        <row r="115">
          <cell r="A115" t="str">
            <v>E7b  B2  2A12  9.87  3/4  EBU</v>
          </cell>
        </row>
        <row r="116">
          <cell r="A116" t="str">
            <v>E7b  B2  2A18  14.4  3/4  EBU</v>
          </cell>
        </row>
        <row r="117">
          <cell r="A117" t="str">
            <v>E7b  B2  2A9  7.2   3/4  EBU</v>
          </cell>
        </row>
        <row r="118">
          <cell r="A118" t="str">
            <v>E7b  B2  2C12  9.87  3/4  EBU</v>
          </cell>
        </row>
        <row r="119">
          <cell r="A119" t="str">
            <v>E7b  B2  2D18  14.4  3/4  EBU</v>
          </cell>
        </row>
        <row r="120">
          <cell r="A120" t="str">
            <v>E7b  B2  2D9  7.2   3/4  EBU</v>
          </cell>
        </row>
        <row r="121">
          <cell r="A121" t="str">
            <v>E7b  B2  2E12  9.87  3/4  EBU</v>
          </cell>
        </row>
        <row r="122">
          <cell r="A122" t="str">
            <v>E7b  B2  2E24  19.2  3/4  EBU</v>
          </cell>
        </row>
        <row r="123">
          <cell r="A123" t="str">
            <v>E7b  B2  2E9   7.2   3/4  EBU</v>
          </cell>
        </row>
        <row r="124">
          <cell r="A124" t="str">
            <v>E7b  B2  2G12  9.87  3/4  EBU</v>
          </cell>
        </row>
        <row r="125">
          <cell r="A125" t="str">
            <v>E7b  B2  2G18  14.4  3/4  EBU</v>
          </cell>
        </row>
        <row r="126">
          <cell r="A126" t="str">
            <v>E7b  B2  2G9  7.2   3/4  EBU</v>
          </cell>
        </row>
        <row r="127">
          <cell r="A127" t="str">
            <v>E7b  B2  2K9  IMG Lease  7.2   3/4  EBU</v>
          </cell>
        </row>
        <row r="128">
          <cell r="A128" t="str">
            <v>E7b  B2  2M9   7.2   3/4 EBU</v>
          </cell>
        </row>
        <row r="129">
          <cell r="A129" t="str">
            <v>E7b  B2  2M9 IMG Lease  7.2   3/4  EBU</v>
          </cell>
        </row>
        <row r="130">
          <cell r="A130" t="str">
            <v>E7b  B3  3E12  9.87  3/4  EBU</v>
          </cell>
        </row>
        <row r="131">
          <cell r="A131" t="str">
            <v>E7b  B3  3E9  7.2   3/4  EBU</v>
          </cell>
        </row>
        <row r="132">
          <cell r="A132" t="str">
            <v>E7b  B3  3G12  9.87  3/4  EBU</v>
          </cell>
        </row>
        <row r="133">
          <cell r="A133" t="str">
            <v>E7b  B3  3G18  14.4  3/4  EBU</v>
          </cell>
        </row>
        <row r="134">
          <cell r="A134" t="str">
            <v>E7b  B3  3G9  7.2   3/4  EBU</v>
          </cell>
        </row>
        <row r="135">
          <cell r="A135" t="str">
            <v>E7b  B3  3H9  7.2   3/4  EBU</v>
          </cell>
        </row>
        <row r="136">
          <cell r="A136" t="str">
            <v>E7b  B3  3K12  9.87  3/4  EBU</v>
          </cell>
        </row>
        <row r="137">
          <cell r="A137" t="str">
            <v>E7b  B3  3L18  14.4  3/4  EBU</v>
          </cell>
        </row>
        <row r="138">
          <cell r="A138" t="str">
            <v>E7b  B3  3L9  7.2   3/4  EBU</v>
          </cell>
        </row>
        <row r="139">
          <cell r="A139" t="str">
            <v>E7b  B3  3M12  9.87  3/4  EBU</v>
          </cell>
        </row>
        <row r="140">
          <cell r="A140" t="str">
            <v>E7b  B3  3M9  7.2   3/4  EBU</v>
          </cell>
        </row>
        <row r="141">
          <cell r="A141" t="str">
            <v>E7b  B4  4A12  9.87  3/4  EBU</v>
          </cell>
        </row>
        <row r="142">
          <cell r="A142" t="str">
            <v>E7b  B4  4A18  14.4  3/4  EBU</v>
          </cell>
        </row>
        <row r="143">
          <cell r="A143" t="str">
            <v>E7b  B4  4A9  7.2   3/4  EBU</v>
          </cell>
        </row>
        <row r="144">
          <cell r="A144" t="str">
            <v>E7b  B4  4B9  7.2   3/4  EBU</v>
          </cell>
        </row>
        <row r="145">
          <cell r="A145" t="str">
            <v>E7b  B4  4C12  9.87  3/4  EBU</v>
          </cell>
        </row>
        <row r="146">
          <cell r="A146" t="str">
            <v>E7b  B4  4D18  14.4  3/4  EBU</v>
          </cell>
        </row>
        <row r="147">
          <cell r="A147" t="str">
            <v>E7b  B4  4D9  7.2   3/4  EBU</v>
          </cell>
        </row>
        <row r="148">
          <cell r="A148" t="str">
            <v>E7b  B4  4E12  9.87  3/4  EBU</v>
          </cell>
        </row>
        <row r="149">
          <cell r="A149" t="str">
            <v>E7b  B4  4E9  7.2   3/4  EBU</v>
          </cell>
        </row>
        <row r="150">
          <cell r="A150" t="str">
            <v>E7b  B4  4G12  9.87  3/4  EBU</v>
          </cell>
        </row>
        <row r="151">
          <cell r="A151" t="str">
            <v>E7b  B4  4G18  14.4  3/4  EBU</v>
          </cell>
        </row>
        <row r="152">
          <cell r="A152" t="str">
            <v>E7b  B4  4G9  7.2   3/4  EBU</v>
          </cell>
        </row>
        <row r="153">
          <cell r="A153" t="str">
            <v>E7b  B4  4H9  7.2   3/4  EBU</v>
          </cell>
        </row>
        <row r="154">
          <cell r="A154" t="str">
            <v>E7b  B4  4K12  9.87  3/4  EBU</v>
          </cell>
        </row>
        <row r="155">
          <cell r="A155" t="str">
            <v>E7b  B4  4L18  14.4  3/4  EBU</v>
          </cell>
        </row>
        <row r="156">
          <cell r="A156" t="str">
            <v>E7b  B4  4L9  7.2   3/4  EBU</v>
          </cell>
        </row>
        <row r="157">
          <cell r="A157" t="str">
            <v>E7b  B4  4M12  9.87  3/4  EBU</v>
          </cell>
        </row>
        <row r="158">
          <cell r="A158" t="str">
            <v>E7b  B4  4M9  7.2   3/4  EBU</v>
          </cell>
        </row>
        <row r="159">
          <cell r="A159" t="str">
            <v>E7b  B5  12-01  9.6   3/4  GCUK</v>
          </cell>
        </row>
        <row r="160">
          <cell r="A160" t="str">
            <v>E7b  B5  12-02  9.6   3/4  GCUK</v>
          </cell>
        </row>
        <row r="161">
          <cell r="A161" t="str">
            <v>E7b  B5  12-03  9.6   3/4  GCUK</v>
          </cell>
        </row>
        <row r="162">
          <cell r="A162" t="str">
            <v>E7b  B5  12-04  9.6   3/4  GCUK</v>
          </cell>
        </row>
        <row r="163">
          <cell r="A163" t="str">
            <v>E7b  B5  12-05  9.6   3/4  GCUK</v>
          </cell>
        </row>
        <row r="164">
          <cell r="A164" t="str">
            <v>E7b  B5  12-06  9.6   3/4  GCUK</v>
          </cell>
        </row>
        <row r="165">
          <cell r="A165" t="str">
            <v>E7b  B5  12-09  9.6   3/4  GCUK</v>
          </cell>
        </row>
        <row r="166">
          <cell r="A166" t="str">
            <v>E7b  B5  A  7.2   3/4  SES</v>
          </cell>
        </row>
        <row r="167">
          <cell r="A167" t="str">
            <v>E7b  B5  A  7.4   3/4  Other</v>
          </cell>
        </row>
        <row r="168">
          <cell r="A168" t="str">
            <v>E7b  B5  AB  14.4  3/4  EBU</v>
          </cell>
        </row>
        <row r="169">
          <cell r="A169" t="str">
            <v>E7b  B5  AB LOWER  9.8   3/4  GCUK</v>
          </cell>
        </row>
        <row r="170">
          <cell r="A170" t="str">
            <v>E7b  B5  AB Lower  9.87  3/4  SES</v>
          </cell>
        </row>
        <row r="171">
          <cell r="A171" t="str">
            <v>E7b  B5  B  7.2   3/4  SES</v>
          </cell>
        </row>
        <row r="172">
          <cell r="A172" t="str">
            <v>E7b  B5  C  7.2   3/4  SES</v>
          </cell>
        </row>
        <row r="173">
          <cell r="A173" t="str">
            <v>E7b  B5  CD  14.4  3/4  EBU</v>
          </cell>
        </row>
        <row r="174">
          <cell r="A174" t="str">
            <v>E7b  B5  CD UPPER  9.87  3/4  EBU</v>
          </cell>
        </row>
        <row r="175">
          <cell r="A175" t="str">
            <v>E7b  B5  CH 12-02  9.6   3/4  GCUK</v>
          </cell>
        </row>
        <row r="176">
          <cell r="A176" t="str">
            <v>E7b  B5  D  7.2   3/4  SES</v>
          </cell>
        </row>
        <row r="177">
          <cell r="A177" t="str">
            <v>E7b  B5  E  7.2   3/4  SES</v>
          </cell>
        </row>
        <row r="178">
          <cell r="A178" t="str">
            <v>E7b  B5  EF  14.4  3/4  EBU</v>
          </cell>
        </row>
        <row r="179">
          <cell r="A179" t="str">
            <v>E7b  B5  EF  15 M  5/6  Other</v>
          </cell>
        </row>
        <row r="180">
          <cell r="A180" t="str">
            <v>E7b  B5  EF UPPER  9.6   3/4  GCUK</v>
          </cell>
        </row>
        <row r="181">
          <cell r="A181" t="str">
            <v>E7b  B5  F  7.2   3/4  Other</v>
          </cell>
        </row>
        <row r="182">
          <cell r="A182" t="str">
            <v>E7b  B5  F  7.2   3/4  SES</v>
          </cell>
        </row>
        <row r="183">
          <cell r="A183" t="str">
            <v>E7b  B5  G  7.2   3/4  GCUK</v>
          </cell>
        </row>
        <row r="184">
          <cell r="A184" t="str">
            <v>E7b  B5  GH  14.4  3/4  EBU</v>
          </cell>
        </row>
        <row r="185">
          <cell r="A185" t="str">
            <v>E7b  B5  H  7.2   3/4  GCUK</v>
          </cell>
        </row>
        <row r="186">
          <cell r="A186" t="str">
            <v>E7b  B5 OCC  AB  14.4 3/4  EBU</v>
          </cell>
        </row>
        <row r="187">
          <cell r="A187" t="str">
            <v>E7b  B5 OCC  C  7.2   3/4  EBU</v>
          </cell>
        </row>
        <row r="188">
          <cell r="A188" t="str">
            <v>E7b  B5 OCC  CD  14.4  3/4  EBU</v>
          </cell>
        </row>
        <row r="189">
          <cell r="A189" t="str">
            <v>E7b  B5 OCC  D  7.2   3/4  EBU</v>
          </cell>
        </row>
        <row r="190">
          <cell r="A190" t="str">
            <v>E7b  B5 OCC  DE UPPER  9.87  3/4  EBU</v>
          </cell>
        </row>
        <row r="191">
          <cell r="A191" t="str">
            <v>E7b  B5 OCC  E  7.2   3/4  EBU</v>
          </cell>
        </row>
        <row r="192">
          <cell r="A192" t="str">
            <v>E7b  B5 OCC  EF  14.4  3/4  EBU</v>
          </cell>
        </row>
        <row r="193">
          <cell r="A193" t="str">
            <v>E7b  B5 OCC  F  7.2  3/4  EBU</v>
          </cell>
        </row>
        <row r="194">
          <cell r="A194" t="str">
            <v>E7b  B5 OCC  G  7.2   3/4  EBU</v>
          </cell>
        </row>
        <row r="195">
          <cell r="A195" t="str">
            <v>E7b  B5 OCC  GH  14.4  3/4  EBU</v>
          </cell>
        </row>
        <row r="196">
          <cell r="A196" t="str">
            <v>E7b  B5 OCC  H  7.2   3/4  EBU</v>
          </cell>
        </row>
        <row r="197">
          <cell r="A197" t="str">
            <v>E7b  B6  12-01  9.6   3/4  GCUK</v>
          </cell>
        </row>
        <row r="198">
          <cell r="A198" t="str">
            <v>E7b  B6  12-02  9.6   3/4  GCUK</v>
          </cell>
        </row>
        <row r="199">
          <cell r="A199" t="str">
            <v>E7b  B6  12-03  9.6   3/4  GCUK</v>
          </cell>
        </row>
        <row r="200">
          <cell r="A200" t="str">
            <v>E7b  B6  12-04  9.6   3/4  GCUK</v>
          </cell>
        </row>
        <row r="201">
          <cell r="A201" t="str">
            <v>E7b  B6  12-06  9.6   3/4  GCUK</v>
          </cell>
        </row>
        <row r="202">
          <cell r="A202" t="str">
            <v>E7b  B6  B  7.4   3/4  Other</v>
          </cell>
        </row>
        <row r="203">
          <cell r="A203" t="str">
            <v>E7b  B6  C  7.4   3/4  Other</v>
          </cell>
        </row>
        <row r="204">
          <cell r="A204" t="str">
            <v>E7b  B6  CH.GH UPPER  9.6   3/4  GCUK</v>
          </cell>
        </row>
        <row r="205">
          <cell r="A205" t="str">
            <v>E7b  B6  E  7.2   3/4  GCUK</v>
          </cell>
        </row>
        <row r="206">
          <cell r="A206" t="str">
            <v>E7b  B6  F  7.2   3/4  GCUK</v>
          </cell>
        </row>
        <row r="207">
          <cell r="A207" t="str">
            <v>E7b  B6  G  7.2   3/4  GCUK</v>
          </cell>
        </row>
        <row r="208">
          <cell r="A208" t="str">
            <v>E7b  B6  H  7.2   3/4  SES</v>
          </cell>
        </row>
        <row r="209">
          <cell r="A209" t="str">
            <v>E7b  B6  H  7.4   3/4  Other</v>
          </cell>
        </row>
        <row r="210">
          <cell r="A210" t="str">
            <v>E7b  B6 Lease  D  7.2   3/4  GCUK</v>
          </cell>
        </row>
        <row r="211">
          <cell r="A211" t="str">
            <v>E7b  C01   CH C01 - SERVICE 07  34.2  32/45  EBU</v>
          </cell>
        </row>
        <row r="212">
          <cell r="A212" t="str">
            <v>E7b  C01  CH C01- SERVICE 06 ASI  34.2  32/45  EBU</v>
          </cell>
        </row>
        <row r="213">
          <cell r="A213" t="str">
            <v>E7b  C02  BE   MCPC Service 01  34.2  32/45  EBU</v>
          </cell>
        </row>
        <row r="214">
          <cell r="A214" t="str">
            <v>E7b  C02  BE - MCPC SERVICE 03  34.2  32/45  EBU</v>
          </cell>
        </row>
        <row r="215">
          <cell r="A215" t="str">
            <v>E7b  C02  CH BE  - Service 02  34.2  32/45  EBU</v>
          </cell>
        </row>
        <row r="216">
          <cell r="A216" t="str">
            <v>E7b  C02  CH BE - MCPC - SERVICE 04  34.2  32/45  EBU</v>
          </cell>
        </row>
        <row r="217">
          <cell r="A217" t="str">
            <v>E7b  C02  CH BE - MCPC SERVICE 06   34.2  32/45  EBU</v>
          </cell>
        </row>
        <row r="218">
          <cell r="A218" t="str">
            <v>E7b  C02  CH BE - SERVICE 05  34.2  32/45  EBU</v>
          </cell>
        </row>
        <row r="219">
          <cell r="A219" t="str">
            <v>E7b  C02  CH BE MCPC Service 07  34.2  32/45  EBU</v>
          </cell>
        </row>
        <row r="220">
          <cell r="A220" t="str">
            <v>E7b  C02  CH BE MCPC Service 08  34.2  32/45  EBU</v>
          </cell>
        </row>
        <row r="221">
          <cell r="A221" t="str">
            <v>E7b  C02  CH BE MCPC Service 09  34.2  32/45  EBU</v>
          </cell>
        </row>
        <row r="222">
          <cell r="A222" t="str">
            <v>E7b  D10  F+  7.2   3/4  GCUK</v>
          </cell>
        </row>
        <row r="223">
          <cell r="A223" t="str">
            <v>E7b  DW2  A+  7.2   3/4  SES</v>
          </cell>
        </row>
        <row r="224">
          <cell r="A224" t="str">
            <v>E7b  DW2  CH AB LOWER - MCPC - Service 01  11.7  32/45  EBU</v>
          </cell>
        </row>
        <row r="225">
          <cell r="A225" t="str">
            <v>E7b  DW2  CH AB LOWER - MCPC - Service 03  11.7  32/45  EBU</v>
          </cell>
        </row>
        <row r="226">
          <cell r="A226" t="str">
            <v>E7b  DW2  CH AB LOWER - MCPC SERVICE 02  11.7  32/45  EBU</v>
          </cell>
        </row>
        <row r="227">
          <cell r="A227" t="str">
            <v>E7b  DW2  F  7.2   3/4  SES</v>
          </cell>
        </row>
        <row r="228">
          <cell r="A228" t="str">
            <v>E7b  DW2  G  7.2   3/4  SES</v>
          </cell>
        </row>
        <row r="229">
          <cell r="A229" t="str">
            <v>E7b  DW2  H  7.2   3/4  SES</v>
          </cell>
        </row>
        <row r="230">
          <cell r="A230" t="str">
            <v>E7b  DW2  H  7.2   3/4  SES</v>
          </cell>
        </row>
        <row r="231">
          <cell r="A231" t="str">
            <v>E7b  DW4  A+  7.2   3/4  SES</v>
          </cell>
        </row>
        <row r="232">
          <cell r="A232" t="str">
            <v>E7b  DW4  E  7.2   3/4  SES</v>
          </cell>
        </row>
        <row r="233">
          <cell r="A233" t="str">
            <v>E7b  DW4  F  7.2   3/4  SES</v>
          </cell>
        </row>
        <row r="234">
          <cell r="A234" t="str">
            <v>E7b  DW4  G  7.2   3/4  SES</v>
          </cell>
        </row>
        <row r="235">
          <cell r="A235" t="str">
            <v>E7b  DW4  H  7.2   3/4  SES</v>
          </cell>
        </row>
        <row r="236">
          <cell r="A236" t="str">
            <v>E7b  DW5  DF UPPER - MCPC - SERVICE 01  23.5  32/45  EBU</v>
          </cell>
        </row>
        <row r="237">
          <cell r="A237" t="str">
            <v>E7b  DW5  DF UPPER - MCPC - SERVICE 02  23.5  32/45  EBU</v>
          </cell>
        </row>
        <row r="238">
          <cell r="A238" t="str">
            <v>E7b  DW5  DF UPPER - MCPC - SERVICE 03  23.5  32/45  EBU</v>
          </cell>
        </row>
        <row r="239">
          <cell r="A239" t="str">
            <v>E7b  DW5  E+  7.2   3/4  SES</v>
          </cell>
        </row>
        <row r="240">
          <cell r="A240" t="str">
            <v>E7b  DW5  FG MIDDLE  9.87  3/4  EBU</v>
          </cell>
        </row>
        <row r="241">
          <cell r="A241" t="str">
            <v>E7b  DW5  G+  7.2   3/4  SES</v>
          </cell>
        </row>
        <row r="242">
          <cell r="A242" t="str">
            <v>E7b  DW5  H  7.2   3/4  SES</v>
          </cell>
        </row>
        <row r="243">
          <cell r="A243" t="str">
            <v>E7b  DW5  H+  7.2   3/4  SES</v>
          </cell>
        </row>
        <row r="244">
          <cell r="A244" t="str">
            <v>E7b  F01  E  7.2   3/4  EBU</v>
          </cell>
        </row>
        <row r="245">
          <cell r="A245" t="str">
            <v>E7b  F01  EF LOWER  9.87  3/4  EBU</v>
          </cell>
        </row>
        <row r="246">
          <cell r="A246" t="str">
            <v>E7b  F01  F1G12  9.87  3/4  EBU</v>
          </cell>
        </row>
        <row r="247">
          <cell r="A247" t="str">
            <v>E7b  F01  F1G18  14.4  3/4  EBU</v>
          </cell>
        </row>
        <row r="248">
          <cell r="A248" t="str">
            <v>E7b  F01  F1G9  7.2   3/4  EBU</v>
          </cell>
        </row>
        <row r="249">
          <cell r="A249" t="str">
            <v>E7b  F01  F1H9  7.2   3/4  EBU</v>
          </cell>
        </row>
        <row r="250">
          <cell r="A250" t="str">
            <v>E7b  F01  F1H9  7.2   3/4  EBU</v>
          </cell>
        </row>
        <row r="251">
          <cell r="A251" t="str">
            <v>E7b  F01  F1L18  14.4  3/4  EBU</v>
          </cell>
        </row>
        <row r="252">
          <cell r="A252" t="str">
            <v>E7b  F01  F1L18  14.4  3/4  EBU</v>
          </cell>
        </row>
        <row r="253">
          <cell r="A253" t="str">
            <v>E7b  F01  F1L9   7.2   3/4  EBU</v>
          </cell>
        </row>
        <row r="254">
          <cell r="A254" t="str">
            <v>E7b  F01  F1M9  7.2   3/4  EBU</v>
          </cell>
        </row>
        <row r="255">
          <cell r="A255" t="str">
            <v>E7b  F01 OCC  E  7.2   3/4  EBU</v>
          </cell>
        </row>
        <row r="256">
          <cell r="A256" t="str">
            <v>E7b  F01 OCC  F  7.2   3/4  EBU</v>
          </cell>
        </row>
        <row r="257">
          <cell r="A257" t="str">
            <v>E7b  F01 OU  D+   7.2   3/4  EBU</v>
          </cell>
        </row>
        <row r="258">
          <cell r="A258" t="str">
            <v>E7b  F02  AB MIDDLE  7.2   3/4  SES</v>
          </cell>
        </row>
        <row r="259">
          <cell r="A259" t="str">
            <v>E7b  F02  AB+ MIDDLE (OCC)  9.87  3/4  EBU</v>
          </cell>
        </row>
        <row r="260">
          <cell r="A260" t="str">
            <v>E7b  F03  FG UPPER SERVICE 01  11.7  32/45  EBU</v>
          </cell>
        </row>
        <row r="261">
          <cell r="A261" t="str">
            <v>E7b  F03  FG UPPER SERVICE 02  11.7  32/45  EBU</v>
          </cell>
        </row>
        <row r="262">
          <cell r="A262" t="str">
            <v>E7b  F03  G+  7.2   3/4  SES</v>
          </cell>
        </row>
        <row r="263">
          <cell r="A263" t="str">
            <v>E7b  F04  B  7.2   3/4  SES</v>
          </cell>
        </row>
        <row r="264">
          <cell r="A264" t="str">
            <v>E7b  F04  CH F+   7.2   3/4  EBU</v>
          </cell>
        </row>
        <row r="265">
          <cell r="A265" t="str">
            <v>E7b  F04  D  7.2   3/4  EBU</v>
          </cell>
        </row>
        <row r="266">
          <cell r="A266" t="str">
            <v>E7b  F04  DE+  14.4  3/4  EBU</v>
          </cell>
        </row>
        <row r="267">
          <cell r="A267" t="str">
            <v>E7b  F04  H  7.2   3/4  EBU</v>
          </cell>
        </row>
        <row r="268">
          <cell r="A268" t="str">
            <v>E7b  F05  A  7.2   3/4  SES</v>
          </cell>
        </row>
        <row r="269">
          <cell r="A269" t="str">
            <v>E7b  F05  AB - MCPC SERVICE 01  17.6  19/30  EBU</v>
          </cell>
        </row>
        <row r="270">
          <cell r="A270" t="str">
            <v>E7b  F05  AB - MCPC SERVICE 02  17.6  19/30  EBU</v>
          </cell>
        </row>
        <row r="271">
          <cell r="A271" t="str">
            <v>E7b  F05  AB - MCPC SERVICE 03  17.6  19/30  EBU</v>
          </cell>
        </row>
        <row r="272">
          <cell r="A272" t="str">
            <v>E7b  F06  A  7.2   3/4  EBU</v>
          </cell>
        </row>
        <row r="273">
          <cell r="A273" t="str">
            <v>E7b  F06  A9  7.2   3/4  SES</v>
          </cell>
        </row>
        <row r="274">
          <cell r="A274" t="str">
            <v>E7b  F06  AB  14.4  3/4  EBU</v>
          </cell>
        </row>
        <row r="275">
          <cell r="A275" t="str">
            <v>E7b  F06  B  7.2   3/4  EBU</v>
          </cell>
        </row>
        <row r="276">
          <cell r="A276" t="str">
            <v>E7b  F06  B9  7.2   3/4  SES</v>
          </cell>
        </row>
        <row r="277">
          <cell r="A277" t="str">
            <v>E7b  F06  C9  7.2   3/4  SES</v>
          </cell>
        </row>
        <row r="278">
          <cell r="A278" t="str">
            <v>E7b  F06  CD  14.4  3/4  EBU</v>
          </cell>
        </row>
        <row r="279">
          <cell r="A279" t="str">
            <v>E7b  F06  CD  7.2   3/4  SES</v>
          </cell>
        </row>
        <row r="280">
          <cell r="A280" t="str">
            <v>E7b  F06  CH C  7.2   3/4  EBU</v>
          </cell>
        </row>
        <row r="281">
          <cell r="A281" t="str">
            <v>E7b  F06  D  7.2   3/4  SES</v>
          </cell>
        </row>
        <row r="282">
          <cell r="A282" t="str">
            <v>E7b  F06  D9  7.2   3/4  SES</v>
          </cell>
        </row>
        <row r="283">
          <cell r="A283" t="str">
            <v>E7b  F06  E  5 Ms  3/4  SES</v>
          </cell>
        </row>
        <row r="284">
          <cell r="A284" t="str">
            <v>E7b  F06  S (Sierra)  7.2   3/4  SES</v>
          </cell>
        </row>
        <row r="285">
          <cell r="A285" t="str">
            <v>E7b  F06  T (Tango)  7.2   3/4  SES</v>
          </cell>
        </row>
        <row r="286">
          <cell r="A286" t="str">
            <v>E7b  F06 (2)  A9  7.2   3/4  SES</v>
          </cell>
        </row>
        <row r="287">
          <cell r="A287" t="str">
            <v>E7b  F06 (2)  B9  7.2   3/4  SES</v>
          </cell>
        </row>
        <row r="288">
          <cell r="A288" t="str">
            <v>E7b  F06 (2)  C9  7.2   3/4  SES</v>
          </cell>
        </row>
        <row r="289">
          <cell r="A289" t="str">
            <v>E7b  F06 OCC  GH+  14.4  3/4  EBU</v>
          </cell>
        </row>
        <row r="290">
          <cell r="A290" t="str">
            <v>E7b  F1  AB Upper  9.6   3/4  GCUK</v>
          </cell>
        </row>
        <row r="291">
          <cell r="A291" t="str">
            <v>E7b  F1  D  7.2   3/4  SES</v>
          </cell>
        </row>
        <row r="292">
          <cell r="A292" t="str">
            <v>E7b  F1  E  7.2   3/4  SES</v>
          </cell>
        </row>
        <row r="293">
          <cell r="A293" t="str">
            <v>E7b  F1  FG Middle  7.2   3/4  SES</v>
          </cell>
        </row>
        <row r="294">
          <cell r="A294" t="str">
            <v>E7b  F1  G  7.2   3/4  SES</v>
          </cell>
        </row>
        <row r="295">
          <cell r="A295" t="str">
            <v>E7b  F1  H  7.2   3/4  SES</v>
          </cell>
        </row>
        <row r="296">
          <cell r="A296" t="str">
            <v>E7b  F2  AB MIDDLE  9.6   3/4  GCUK</v>
          </cell>
        </row>
        <row r="297">
          <cell r="A297" t="str">
            <v>E7b  F2  BC  9.6   3/4  GCUK</v>
          </cell>
        </row>
        <row r="298">
          <cell r="A298" t="str">
            <v>E7b  F2  BC Lower  9.6   3/4  GCUK</v>
          </cell>
        </row>
        <row r="299">
          <cell r="A299" t="str">
            <v>E7b  F3  FG UPPER  9.6   3/4  GCUK</v>
          </cell>
        </row>
        <row r="300">
          <cell r="A300" t="str">
            <v>E7b  F4   CH.FG LOWER  9.6   3/4  GCUK</v>
          </cell>
        </row>
        <row r="301">
          <cell r="A301" t="str">
            <v>E7b  F4  CD MIDDLE  9.6   3/4  GCUK</v>
          </cell>
        </row>
        <row r="302">
          <cell r="A302" t="str">
            <v>E7b  F4  CD UPPER  9.6   3/4  GCUK</v>
          </cell>
        </row>
        <row r="303">
          <cell r="A303" t="str">
            <v>E7b  F4  F+  7.2   3/4  SES</v>
          </cell>
        </row>
        <row r="304">
          <cell r="A304" t="str">
            <v>E7b  F4  G+  7.2   3/4  SES</v>
          </cell>
        </row>
        <row r="305">
          <cell r="A305" t="str">
            <v>E7b  F4  GH MIDDLE  9.6   3/4  GCUK</v>
          </cell>
        </row>
        <row r="306">
          <cell r="A306" t="str">
            <v>E7b  F5  A  7.2   3/4  SES</v>
          </cell>
        </row>
        <row r="307">
          <cell r="A307" t="str">
            <v>E7b  F5  AB  14.5  3/4  Other</v>
          </cell>
        </row>
        <row r="308">
          <cell r="A308" t="str">
            <v>E7b  F5  AB LOWER  9.6   3/4  GCUK</v>
          </cell>
        </row>
        <row r="309">
          <cell r="A309" t="str">
            <v>E7b  F5  B  7.2   3/4  SES</v>
          </cell>
        </row>
        <row r="310">
          <cell r="A310" t="str">
            <v>E7b  F6  12-01  9.6   3/4  GCUK</v>
          </cell>
        </row>
        <row r="311">
          <cell r="A311" t="str">
            <v>E7b  F6  12-03  9.6   3/4 GCUK</v>
          </cell>
        </row>
        <row r="312">
          <cell r="A312" t="str">
            <v>E7b  F6  A  7.4   3/4  Other</v>
          </cell>
        </row>
        <row r="313">
          <cell r="A313" t="str">
            <v>E7b  F6  CD  9.87  3/4  SES</v>
          </cell>
        </row>
        <row r="314">
          <cell r="A314" t="str">
            <v>E7b  F6  CD Upper  9.6   3/4  GCUK</v>
          </cell>
        </row>
        <row r="315">
          <cell r="A315" t="str">
            <v>E7b  F6  CD Upper  9.87  3/4  SES</v>
          </cell>
        </row>
        <row r="316">
          <cell r="A316" t="str">
            <v>E7C  DWW01  C  7.2   3/4  SES</v>
          </cell>
        </row>
        <row r="317">
          <cell r="A317" t="str">
            <v>E7C  DWW01  D  7.2   3/4  SES</v>
          </cell>
        </row>
        <row r="318">
          <cell r="A318" t="str">
            <v>E7C  DWW01  E  7.2   3/4  SES</v>
          </cell>
        </row>
        <row r="319">
          <cell r="A319" t="str">
            <v>E7C  DWW01  F  7.2   3/4  SES</v>
          </cell>
        </row>
        <row r="320">
          <cell r="A320" t="str">
            <v>E7C  DWW07  C  7.2   3/4  SES</v>
          </cell>
        </row>
        <row r="321">
          <cell r="A321" t="str">
            <v>E7C  DWW07  D  7.2   3/4  SES</v>
          </cell>
        </row>
        <row r="322">
          <cell r="A322" t="str">
            <v>E7C  DWW08  D  7.2   3/4  SES</v>
          </cell>
        </row>
        <row r="323">
          <cell r="A323" t="str">
            <v>E7C  DWW08  E  7.2   3/4  SIS</v>
          </cell>
        </row>
        <row r="324">
          <cell r="A324" t="str">
            <v>E7C  DWW08  F  7.2   3/4  SES</v>
          </cell>
        </row>
        <row r="325">
          <cell r="A325" t="str">
            <v>E7C  DWW10  D  7.2   3/4  SES</v>
          </cell>
        </row>
        <row r="326">
          <cell r="A326" t="str">
            <v>E7C  DWW10  F  7.2   3/4  SES</v>
          </cell>
        </row>
        <row r="327">
          <cell r="A327" t="str">
            <v>E7C  DWW12  D  7.2   3/4  SES</v>
          </cell>
        </row>
        <row r="328">
          <cell r="A328" t="str">
            <v>E7C  DWW12  E  7.2   3/4  SES</v>
          </cell>
        </row>
        <row r="329">
          <cell r="A329" t="str">
            <v>E7C  DWW12  EF Upper  9.87  3/4  SES</v>
          </cell>
        </row>
        <row r="330">
          <cell r="A330" t="str">
            <v>E7C  DWW12  F  7.2   3/4  MX1</v>
          </cell>
        </row>
        <row r="331">
          <cell r="A331" t="str">
            <v>E7C  DWW12  F  7.2   3/4  SES</v>
          </cell>
        </row>
        <row r="332">
          <cell r="A332" t="str">
            <v>E8WB  FUU02  D  7.2   3/4  GCUK</v>
          </cell>
        </row>
        <row r="333">
          <cell r="A333" t="str">
            <v>SES 4  EUV10  18  7.2   5/6  SIS</v>
          </cell>
        </row>
        <row r="334">
          <cell r="A334" t="str">
            <v>SES 4  FB1  ab2  7.2   3/4  Other</v>
          </cell>
        </row>
        <row r="335">
          <cell r="A335" t="str">
            <v>TH1002  65  Dig 14/15/16/17  14.5  3/4  Other</v>
          </cell>
        </row>
        <row r="336">
          <cell r="A336" t="str">
            <v>TH1002  65  Dig 16/17/18  14.5  3/4  Other</v>
          </cell>
        </row>
        <row r="337">
          <cell r="A337" t="str">
            <v>TH1002  65  N/A  14.5  3/4  Other</v>
          </cell>
        </row>
        <row r="338">
          <cell r="A338" t="str">
            <v/>
          </cell>
        </row>
        <row r="339">
          <cell r="A339" t="str">
            <v/>
          </cell>
        </row>
        <row r="340">
          <cell r="A340" t="str">
            <v/>
          </cell>
        </row>
        <row r="341">
          <cell r="A341" t="str">
            <v/>
          </cell>
        </row>
        <row r="342">
          <cell r="A342" t="str">
            <v/>
          </cell>
        </row>
        <row r="343">
          <cell r="A343" t="str">
            <v/>
          </cell>
        </row>
        <row r="344">
          <cell r="A344" t="str">
            <v/>
          </cell>
        </row>
        <row r="345">
          <cell r="A345" t="str">
            <v/>
          </cell>
        </row>
        <row r="346">
          <cell r="A346" t="str">
            <v/>
          </cell>
        </row>
        <row r="347">
          <cell r="A347" t="str">
            <v/>
          </cell>
        </row>
        <row r="348">
          <cell r="A348" t="str">
            <v/>
          </cell>
        </row>
        <row r="349">
          <cell r="A349" t="str">
            <v/>
          </cell>
        </row>
        <row r="350">
          <cell r="A350" t="str">
            <v/>
          </cell>
        </row>
        <row r="351">
          <cell r="A351" t="str">
            <v/>
          </cell>
        </row>
        <row r="352">
          <cell r="A352" t="str">
            <v/>
          </cell>
        </row>
        <row r="353">
          <cell r="A353" t="str">
            <v/>
          </cell>
        </row>
        <row r="354">
          <cell r="A354" t="str">
            <v/>
          </cell>
        </row>
        <row r="355">
          <cell r="A355" t="str">
            <v/>
          </cell>
        </row>
        <row r="356">
          <cell r="A356" t="str">
            <v/>
          </cell>
        </row>
        <row r="357">
          <cell r="A357" t="str">
            <v/>
          </cell>
        </row>
        <row r="358">
          <cell r="A358" t="str">
            <v/>
          </cell>
        </row>
        <row r="359">
          <cell r="A359" t="str">
            <v/>
          </cell>
        </row>
        <row r="360">
          <cell r="A360" t="str">
            <v/>
          </cell>
        </row>
        <row r="361">
          <cell r="A361" t="str">
            <v/>
          </cell>
        </row>
        <row r="362">
          <cell r="A362" t="str">
            <v/>
          </cell>
        </row>
        <row r="363">
          <cell r="A363" t="str">
            <v/>
          </cell>
        </row>
        <row r="364">
          <cell r="A364" t="str">
            <v/>
          </cell>
        </row>
        <row r="365">
          <cell r="A365" t="str">
            <v/>
          </cell>
        </row>
        <row r="366">
          <cell r="A366" t="str">
            <v/>
          </cell>
        </row>
        <row r="367">
          <cell r="A367" t="str">
            <v/>
          </cell>
        </row>
        <row r="368">
          <cell r="A368" t="str">
            <v/>
          </cell>
        </row>
        <row r="369">
          <cell r="A369" t="str">
            <v/>
          </cell>
        </row>
        <row r="370">
          <cell r="A370" t="str">
            <v/>
          </cell>
        </row>
        <row r="371">
          <cell r="A371" t="str">
            <v/>
          </cell>
        </row>
        <row r="372">
          <cell r="A372" t="str">
            <v/>
          </cell>
        </row>
        <row r="373">
          <cell r="A373" t="str">
            <v/>
          </cell>
        </row>
        <row r="374">
          <cell r="A374" t="str">
            <v/>
          </cell>
        </row>
        <row r="375">
          <cell r="A375" t="str">
            <v/>
          </cell>
        </row>
        <row r="376">
          <cell r="A376" t="str">
            <v/>
          </cell>
        </row>
        <row r="377">
          <cell r="A377" t="str">
            <v/>
          </cell>
        </row>
        <row r="378">
          <cell r="A378" t="str">
            <v/>
          </cell>
        </row>
        <row r="379">
          <cell r="A379" t="str">
            <v/>
          </cell>
        </row>
        <row r="380">
          <cell r="A380" t="str">
            <v/>
          </cell>
        </row>
        <row r="381">
          <cell r="A381" t="str">
            <v/>
          </cell>
        </row>
        <row r="382">
          <cell r="A382" t="str">
            <v/>
          </cell>
        </row>
        <row r="383">
          <cell r="A383" t="str">
            <v/>
          </cell>
        </row>
        <row r="384">
          <cell r="A384" t="str">
            <v/>
          </cell>
        </row>
        <row r="385">
          <cell r="A385" t="str">
            <v/>
          </cell>
        </row>
        <row r="386">
          <cell r="A386" t="str">
            <v/>
          </cell>
        </row>
        <row r="387">
          <cell r="A387" t="str">
            <v/>
          </cell>
        </row>
        <row r="388">
          <cell r="A388" t="str">
            <v/>
          </cell>
        </row>
        <row r="389">
          <cell r="A389" t="str">
            <v/>
          </cell>
        </row>
        <row r="390">
          <cell r="A390" t="str">
            <v/>
          </cell>
        </row>
        <row r="391">
          <cell r="A391" t="str">
            <v/>
          </cell>
        </row>
        <row r="392">
          <cell r="A392" t="str">
            <v/>
          </cell>
        </row>
        <row r="393">
          <cell r="A393" t="str">
            <v/>
          </cell>
        </row>
        <row r="394">
          <cell r="A394" t="str">
            <v/>
          </cell>
        </row>
        <row r="395">
          <cell r="A395" t="str">
            <v/>
          </cell>
        </row>
        <row r="396">
          <cell r="A396" t="str">
            <v/>
          </cell>
        </row>
        <row r="397">
          <cell r="A397" t="str">
            <v/>
          </cell>
        </row>
        <row r="398">
          <cell r="A398" t="str">
            <v/>
          </cell>
        </row>
        <row r="399">
          <cell r="A399" t="str">
            <v/>
          </cell>
        </row>
        <row r="400">
          <cell r="A400" t="str">
            <v/>
          </cell>
        </row>
        <row r="401">
          <cell r="A401" t="str">
            <v/>
          </cell>
        </row>
        <row r="402">
          <cell r="A402" t="str">
            <v/>
          </cell>
        </row>
        <row r="403">
          <cell r="A403" t="str">
            <v/>
          </cell>
        </row>
        <row r="404">
          <cell r="A404" t="str">
            <v/>
          </cell>
        </row>
        <row r="405">
          <cell r="A405" t="str">
            <v/>
          </cell>
        </row>
        <row r="406">
          <cell r="A406" t="str">
            <v/>
          </cell>
        </row>
        <row r="407">
          <cell r="A407" t="str">
            <v/>
          </cell>
        </row>
        <row r="408">
          <cell r="A408" t="str">
            <v/>
          </cell>
        </row>
        <row r="409">
          <cell r="A409" t="str">
            <v/>
          </cell>
        </row>
        <row r="410">
          <cell r="A410" t="str">
            <v/>
          </cell>
        </row>
        <row r="411">
          <cell r="A411" t="str">
            <v/>
          </cell>
        </row>
        <row r="412">
          <cell r="A412" t="str">
            <v/>
          </cell>
        </row>
        <row r="413">
          <cell r="A413" t="str">
            <v/>
          </cell>
        </row>
        <row r="414">
          <cell r="A414" t="str">
            <v/>
          </cell>
        </row>
        <row r="415">
          <cell r="A415" t="str">
            <v/>
          </cell>
        </row>
        <row r="416">
          <cell r="A416" t="str">
            <v/>
          </cell>
        </row>
        <row r="417">
          <cell r="A417" t="str">
            <v/>
          </cell>
        </row>
        <row r="418">
          <cell r="A418" t="str">
            <v/>
          </cell>
        </row>
        <row r="419">
          <cell r="A419" t="str">
            <v/>
          </cell>
        </row>
        <row r="420">
          <cell r="A420" t="str">
            <v/>
          </cell>
        </row>
        <row r="421">
          <cell r="A421" t="str">
            <v/>
          </cell>
        </row>
        <row r="422">
          <cell r="A422" t="str">
            <v/>
          </cell>
        </row>
        <row r="423">
          <cell r="A423" t="str">
            <v/>
          </cell>
        </row>
        <row r="424">
          <cell r="A424" t="str">
            <v/>
          </cell>
        </row>
        <row r="425">
          <cell r="A425" t="str">
            <v/>
          </cell>
        </row>
        <row r="426">
          <cell r="A426" t="str">
            <v/>
          </cell>
        </row>
        <row r="427">
          <cell r="A427" t="str">
            <v/>
          </cell>
        </row>
        <row r="428">
          <cell r="A428" t="str">
            <v/>
          </cell>
        </row>
        <row r="429">
          <cell r="A429" t="str">
            <v/>
          </cell>
        </row>
        <row r="430">
          <cell r="A430" t="str">
            <v/>
          </cell>
        </row>
        <row r="431">
          <cell r="A431" t="str">
            <v/>
          </cell>
        </row>
        <row r="432">
          <cell r="A432" t="str">
            <v/>
          </cell>
        </row>
        <row r="433">
          <cell r="A433" t="str">
            <v/>
          </cell>
        </row>
        <row r="434">
          <cell r="A434" t="str">
            <v/>
          </cell>
        </row>
        <row r="435">
          <cell r="A435" t="str">
            <v/>
          </cell>
        </row>
        <row r="436">
          <cell r="A436" t="str">
            <v/>
          </cell>
        </row>
        <row r="437">
          <cell r="A437" t="str">
            <v/>
          </cell>
        </row>
        <row r="438">
          <cell r="A438" t="str">
            <v/>
          </cell>
        </row>
        <row r="439">
          <cell r="A439" t="str">
            <v/>
          </cell>
        </row>
        <row r="440">
          <cell r="A440" t="str">
            <v/>
          </cell>
        </row>
        <row r="441">
          <cell r="A441" t="str">
            <v/>
          </cell>
        </row>
        <row r="442">
          <cell r="A442" t="str">
            <v/>
          </cell>
        </row>
        <row r="443">
          <cell r="A443" t="str">
            <v/>
          </cell>
        </row>
        <row r="444">
          <cell r="A444" t="str">
            <v/>
          </cell>
        </row>
        <row r="445">
          <cell r="A445" t="str">
            <v/>
          </cell>
        </row>
        <row r="446">
          <cell r="A446" t="str">
            <v/>
          </cell>
        </row>
        <row r="447">
          <cell r="A447" t="str">
            <v/>
          </cell>
        </row>
        <row r="448">
          <cell r="A448" t="str">
            <v/>
          </cell>
        </row>
        <row r="449">
          <cell r="A449" t="str">
            <v/>
          </cell>
        </row>
        <row r="450">
          <cell r="A450" t="str">
            <v/>
          </cell>
        </row>
        <row r="451">
          <cell r="A451" t="str">
            <v/>
          </cell>
        </row>
        <row r="452">
          <cell r="A452" t="str">
            <v/>
          </cell>
        </row>
        <row r="453">
          <cell r="A453" t="str">
            <v/>
          </cell>
        </row>
        <row r="454">
          <cell r="A454" t="str">
            <v/>
          </cell>
        </row>
        <row r="455">
          <cell r="A455" t="str">
            <v/>
          </cell>
        </row>
        <row r="456">
          <cell r="A456" t="str">
            <v/>
          </cell>
        </row>
        <row r="457">
          <cell r="A457" t="str">
            <v/>
          </cell>
        </row>
        <row r="458">
          <cell r="A458" t="str">
            <v/>
          </cell>
        </row>
        <row r="459">
          <cell r="A459" t="str">
            <v/>
          </cell>
        </row>
        <row r="460">
          <cell r="A460" t="str">
            <v/>
          </cell>
        </row>
        <row r="461">
          <cell r="A461" t="str">
            <v/>
          </cell>
        </row>
        <row r="462">
          <cell r="A462" t="str">
            <v/>
          </cell>
        </row>
        <row r="463">
          <cell r="A463" t="str">
            <v/>
          </cell>
        </row>
        <row r="464">
          <cell r="A464" t="str">
            <v/>
          </cell>
        </row>
        <row r="465">
          <cell r="A465" t="str">
            <v/>
          </cell>
        </row>
        <row r="466">
          <cell r="A466" t="str">
            <v/>
          </cell>
        </row>
        <row r="467">
          <cell r="A467" t="str">
            <v/>
          </cell>
        </row>
        <row r="468">
          <cell r="A468" t="str">
            <v/>
          </cell>
        </row>
        <row r="469">
          <cell r="A469" t="str">
            <v/>
          </cell>
        </row>
        <row r="470">
          <cell r="A470" t="str">
            <v/>
          </cell>
        </row>
        <row r="471">
          <cell r="A471" t="str">
            <v/>
          </cell>
        </row>
        <row r="472">
          <cell r="A472" t="str">
            <v/>
          </cell>
        </row>
        <row r="473">
          <cell r="A473" t="str">
            <v/>
          </cell>
        </row>
        <row r="474">
          <cell r="A474" t="str">
            <v/>
          </cell>
        </row>
        <row r="475">
          <cell r="A475" t="str">
            <v/>
          </cell>
        </row>
        <row r="476">
          <cell r="A476" t="str">
            <v/>
          </cell>
        </row>
        <row r="477">
          <cell r="A477" t="str">
            <v/>
          </cell>
        </row>
        <row r="478">
          <cell r="A478" t="str">
            <v/>
          </cell>
        </row>
        <row r="479">
          <cell r="A479" t="str">
            <v/>
          </cell>
        </row>
        <row r="480">
          <cell r="A480" t="str">
            <v/>
          </cell>
        </row>
        <row r="481">
          <cell r="A481" t="str">
            <v/>
          </cell>
        </row>
        <row r="482">
          <cell r="A482" t="str">
            <v/>
          </cell>
        </row>
        <row r="483">
          <cell r="A483" t="str">
            <v/>
          </cell>
        </row>
        <row r="484">
          <cell r="A484" t="str">
            <v/>
          </cell>
        </row>
        <row r="485">
          <cell r="A485" t="str">
            <v/>
          </cell>
        </row>
        <row r="486">
          <cell r="A486" t="str">
            <v/>
          </cell>
        </row>
        <row r="487">
          <cell r="A487" t="str">
            <v/>
          </cell>
        </row>
        <row r="488">
          <cell r="A488" t="str">
            <v/>
          </cell>
        </row>
        <row r="489">
          <cell r="A489" t="str">
            <v/>
          </cell>
        </row>
        <row r="490">
          <cell r="A490" t="str">
            <v/>
          </cell>
        </row>
        <row r="491">
          <cell r="A491" t="str">
            <v/>
          </cell>
        </row>
        <row r="492">
          <cell r="A492" t="str">
            <v/>
          </cell>
        </row>
        <row r="493">
          <cell r="A493" t="str">
            <v/>
          </cell>
        </row>
        <row r="494">
          <cell r="A494" t="str">
            <v/>
          </cell>
        </row>
        <row r="495">
          <cell r="A495" t="str">
            <v/>
          </cell>
        </row>
        <row r="496">
          <cell r="A496" t="str">
            <v/>
          </cell>
        </row>
        <row r="497">
          <cell r="A497" t="str">
            <v/>
          </cell>
        </row>
        <row r="498">
          <cell r="A498" t="str">
            <v/>
          </cell>
        </row>
        <row r="499">
          <cell r="A499" t="str">
            <v/>
          </cell>
        </row>
        <row r="500">
          <cell r="A500" t="str">
            <v/>
          </cell>
        </row>
        <row r="502">
          <cell r="A502" t="str">
            <v>TBC</v>
          </cell>
        </row>
        <row r="503">
          <cell r="A503" t="str">
            <v>N/A</v>
          </cell>
        </row>
        <row r="504">
          <cell r="A504" t="str">
            <v>AP7  C11B  N/A  7.2   3/4  SES</v>
          </cell>
        </row>
        <row r="505">
          <cell r="A505" t="str">
            <v>AP7  C14A  CF1  7.2   3/4  SES</v>
          </cell>
        </row>
        <row r="506">
          <cell r="A506" t="str">
            <v>AP7  C14A  CF2  7.2   3/4  SES</v>
          </cell>
        </row>
        <row r="507">
          <cell r="A507" t="str">
            <v>AS5  10H  1  7.2   3/4  GCUK</v>
          </cell>
        </row>
        <row r="508">
          <cell r="A508" t="str">
            <v>AS5  A5-C5H  6  7.2   3/4  SES</v>
          </cell>
        </row>
        <row r="509">
          <cell r="A509" t="str">
            <v>AS5  C05H  CH 9_3   7.2   3/4  EBU</v>
          </cell>
        </row>
        <row r="510">
          <cell r="A510" t="str">
            <v>AS5  C05H  CH 9_4   7.2   3/4  EBU</v>
          </cell>
        </row>
        <row r="511">
          <cell r="A511" t="str">
            <v>AS5  C05V  CH 2_9   7.2   3/4  EBU</v>
          </cell>
        </row>
        <row r="512">
          <cell r="A512" t="str">
            <v>AS5  C06V  36 (MCPC Service 01)   30 M  3/4 EBU</v>
          </cell>
        </row>
        <row r="513">
          <cell r="A513" t="str">
            <v>AS5  C06V  36 MCPC Service 06 ASI  30 M  3/4  EBU</v>
          </cell>
        </row>
        <row r="514">
          <cell r="A514" t="str">
            <v>AS5  C06V  36 MCPC Service 11 ASI  30 M  3/4  EBU</v>
          </cell>
        </row>
        <row r="515">
          <cell r="A515" t="str">
            <v>AS5  C06V  CH 36  MCPC Service 12 ASI  30 M  3/4  EBU</v>
          </cell>
        </row>
        <row r="516">
          <cell r="A516" t="str">
            <v>AS5  C06V  CH 36 (MCPC SERVICE 01 - IMG)  30 M  3/4  EBU</v>
          </cell>
        </row>
        <row r="517">
          <cell r="A517" t="str">
            <v>AS5  C06V  Ch36 MCPC Service 06 ASI  30 M  3/4  EBU</v>
          </cell>
        </row>
        <row r="518">
          <cell r="A518" t="str">
            <v>AS5  C07H  CH1_9 SERVICE 7  7.2   3/4  EBU</v>
          </cell>
        </row>
        <row r="519">
          <cell r="A519" t="str">
            <v>AS5  C07V  7B9 (IMG Lease 02)   7.2   3/4 EBU</v>
          </cell>
        </row>
        <row r="520">
          <cell r="A520" t="str">
            <v>AS5  C07V  7B9 (IMG Lease 02)  8.55  4/5  EBU</v>
          </cell>
        </row>
        <row r="521">
          <cell r="A521" t="str">
            <v>AS5  C07V  7B9 (IMG LEASE 2)  7.2   3/4  EBU</v>
          </cell>
        </row>
        <row r="522">
          <cell r="A522" t="str">
            <v>AS5  C07V  CH1 (OCC)  7.2   3/4  EBU</v>
          </cell>
        </row>
        <row r="523">
          <cell r="A523" t="str">
            <v>AS5  C07V  CH2  7.2   3/4  EBU</v>
          </cell>
        </row>
        <row r="524">
          <cell r="A524" t="str">
            <v>AS5  C08H  CH1 (OCC)   7.2   3/4  EBU</v>
          </cell>
        </row>
        <row r="525">
          <cell r="A525" t="str">
            <v>AS5  C08H  CH4 (OCC)   7.2   3/4  EBU</v>
          </cell>
        </row>
        <row r="526">
          <cell r="A526" t="str">
            <v>AS5  C08V  CH1 (OCC)   7.2   3/4  EBU</v>
          </cell>
        </row>
        <row r="527">
          <cell r="A527" t="str">
            <v>AS5  C08V  CH3 (OCC)   7.2   3/4  EBU</v>
          </cell>
        </row>
        <row r="528">
          <cell r="A528" t="str">
            <v>AS5  C08V  CH4 (OCC)   7.2   3/4  EBU</v>
          </cell>
        </row>
        <row r="529">
          <cell r="A529" t="str">
            <v>AS5  C09V  9D9   7.2   3/4  EBU</v>
          </cell>
        </row>
        <row r="530">
          <cell r="A530" t="str">
            <v>AS5  C09V  9E9  7.2   3/4  EBU</v>
          </cell>
        </row>
        <row r="531">
          <cell r="A531" t="str">
            <v>AS5  C09V  CH 1_9(OCC)   7.2   3/4  EBU</v>
          </cell>
        </row>
        <row r="532">
          <cell r="A532" t="str">
            <v>AS5  C09V  CH 9A9  7.2   3/4  EBU</v>
          </cell>
        </row>
        <row r="533">
          <cell r="A533" t="str">
            <v>AS5  C10H  1  7.2   3/4  GCUK</v>
          </cell>
        </row>
        <row r="534">
          <cell r="A534" t="str">
            <v>AS5  C10H  1  7.2   3/4  SES</v>
          </cell>
        </row>
        <row r="535">
          <cell r="A535" t="str">
            <v>AS5  C10H  2  7.2   3/4  Other</v>
          </cell>
        </row>
        <row r="536">
          <cell r="A536" t="str">
            <v>AS5  C10H  2  7.2   3/4  SES</v>
          </cell>
        </row>
        <row r="537">
          <cell r="A537" t="str">
            <v>AS5  C10H  3  7.2   3/4  SES</v>
          </cell>
        </row>
        <row r="538">
          <cell r="A538" t="str">
            <v>AS5  C10H  4  7.2   3/4  Other</v>
          </cell>
        </row>
        <row r="539">
          <cell r="A539" t="str">
            <v>AS5  C10H  4  7.2   3/4  SES</v>
          </cell>
        </row>
        <row r="540">
          <cell r="A540" t="str">
            <v>AS5  C10H  CH 2_9  7.2   3/4  EBU</v>
          </cell>
        </row>
        <row r="541">
          <cell r="A541" t="str">
            <v>AS5  C10H  CH1_9   7.2   3/4  EBU</v>
          </cell>
        </row>
        <row r="542">
          <cell r="A542" t="str">
            <v>AS5  C10H  CH3_9   7.2   3/4  EBU</v>
          </cell>
        </row>
        <row r="543">
          <cell r="A543" t="str">
            <v>AS5  C10H  CH4_9  7.2   3/4  EBU</v>
          </cell>
        </row>
        <row r="544">
          <cell r="A544" t="str">
            <v>AS5  C11V  11A72  70.0  19/30  EBU</v>
          </cell>
        </row>
        <row r="545">
          <cell r="A545" t="str">
            <v>AS5  C11V  11A72 - SERVICE 08 ASI  70.0  19/30  EBU</v>
          </cell>
        </row>
        <row r="546">
          <cell r="A546" t="str">
            <v>AS5  C11V  11A72 - SERVICE 09  70.0  19/30  EBU</v>
          </cell>
        </row>
        <row r="547">
          <cell r="A547" t="str">
            <v>AS5  C11V  11A72 MCPC - Service 10  70.0  19/30  EBU</v>
          </cell>
        </row>
        <row r="548">
          <cell r="A548" t="str">
            <v>AS5  C11V  11A72 MCPC Serivce 06 70.0  19/30  EBU</v>
          </cell>
        </row>
        <row r="549">
          <cell r="A549" t="str">
            <v>AS5  C11V  11A72 MCPC Service 01  70.0  19/30  EBU</v>
          </cell>
        </row>
        <row r="550">
          <cell r="A550" t="str">
            <v>AS5  C11V  11A72 MCPC Service 02  70.0  19/30  EBU</v>
          </cell>
        </row>
        <row r="551">
          <cell r="A551" t="str">
            <v>AS5  C11V  11A72 MCPC Service 03  70.0  19/30  EBU</v>
          </cell>
        </row>
        <row r="552">
          <cell r="A552" t="str">
            <v>AS5  C11V  11A72 MCPC Service 04  70.0  19/30  EBU</v>
          </cell>
        </row>
        <row r="553">
          <cell r="A553" t="str">
            <v>AS5  C11V  11A72 MCPC SERVICE 07 ASI  70.0  19/30  EBU</v>
          </cell>
        </row>
        <row r="554">
          <cell r="A554" t="str">
            <v>AS5  C11V  11A72 MCPC Service 11  70.0  19/30  EBU</v>
          </cell>
        </row>
        <row r="555">
          <cell r="A555" t="str">
            <v>AS5  C11V  11A72 MCPC Service 12  70.0  19/30  EBU</v>
          </cell>
        </row>
        <row r="556">
          <cell r="A556" t="str">
            <v>AS5  C12V  12A72 - MCPC - Service 06  70.0  19/30  EBU</v>
          </cell>
        </row>
        <row r="557">
          <cell r="A557" t="str">
            <v>AS5  C12V  12A72 SERVICE 03  70.0  19/30  EBU</v>
          </cell>
        </row>
        <row r="558">
          <cell r="A558" t="str">
            <v>AS5  C12V  12D9  7.2   3/4  EBU</v>
          </cell>
        </row>
        <row r="559">
          <cell r="A559" t="str">
            <v>AS5  C12V  12E9   7.2   3/4  EBU</v>
          </cell>
        </row>
        <row r="560">
          <cell r="A560" t="str">
            <v>AS5  C12V  12E9 MCPC Service 05 ASI  7.2   3/4  EBU</v>
          </cell>
        </row>
        <row r="561">
          <cell r="A561" t="str">
            <v>AS5  C12V  12G9  7.2   3/4  EBU</v>
          </cell>
        </row>
        <row r="562">
          <cell r="A562" t="str">
            <v>AS5  C12V  12G9 MCPC Service 04  7.2   3/4  EBU</v>
          </cell>
        </row>
        <row r="563">
          <cell r="A563" t="str">
            <v>AS5  C12V  12H9  7.2   3/4  EBU</v>
          </cell>
        </row>
        <row r="564">
          <cell r="A564" t="str">
            <v>AS5  C12V  12L9  7.2   3/4  EBU</v>
          </cell>
        </row>
        <row r="565">
          <cell r="A565" t="str">
            <v>AS5  C12V  12L9  7.2   3/4  EBU</v>
          </cell>
        </row>
        <row r="566">
          <cell r="A566" t="str">
            <v>AS5  C12V  12M9   7.2   3/4  EBU</v>
          </cell>
        </row>
        <row r="567">
          <cell r="A567" t="str">
            <v>AS5  C2H  3  7.2   3/4  SES</v>
          </cell>
        </row>
        <row r="568">
          <cell r="A568" t="str">
            <v>AS5  C2H  4  7.2   3/4  SES</v>
          </cell>
        </row>
        <row r="569">
          <cell r="A569" t="str">
            <v>AS5  C2V  3  7.2   3/4  SES</v>
          </cell>
        </row>
        <row r="570">
          <cell r="A570" t="str">
            <v>AS5  C2V  4  7.2   3/4  SES</v>
          </cell>
        </row>
        <row r="571">
          <cell r="A571" t="str">
            <v>AS5  C3H   4  7.2   3/4  SES</v>
          </cell>
        </row>
        <row r="572">
          <cell r="A572" t="str">
            <v>AS5  C3H  1  7.2   3/4  Other</v>
          </cell>
        </row>
        <row r="573">
          <cell r="A573" t="str">
            <v>AS5  C3H  1  7.2   3/4  SES</v>
          </cell>
        </row>
        <row r="574">
          <cell r="A574" t="str">
            <v>AS5  C3H  2  7.2   3/4  SES</v>
          </cell>
        </row>
        <row r="575">
          <cell r="A575" t="str">
            <v>AS5  C3H  3  7.2   3/4  Other</v>
          </cell>
        </row>
        <row r="576">
          <cell r="A576" t="str">
            <v>AS5  C3H  3  7.2   3/4  SES</v>
          </cell>
        </row>
        <row r="577">
          <cell r="A577" t="str">
            <v>AS5  C3H  4  7.2   3/4  Other</v>
          </cell>
        </row>
        <row r="578">
          <cell r="A578" t="str">
            <v>AS5  C3V  1  7.2   3/4  SES</v>
          </cell>
        </row>
        <row r="579">
          <cell r="A579" t="str">
            <v>AS5  C3V  2  7.2   3/4  SES</v>
          </cell>
        </row>
        <row r="580">
          <cell r="A580" t="str">
            <v>AS5  C3V  2_9  7.2   3/4  SES</v>
          </cell>
        </row>
        <row r="581">
          <cell r="A581" t="str">
            <v>AS5  C4H  1  7.2   3/4  SES</v>
          </cell>
        </row>
        <row r="582">
          <cell r="A582" t="str">
            <v>AS5  C4H  2  7.2   3/4  SES</v>
          </cell>
        </row>
        <row r="583">
          <cell r="A583" t="str">
            <v>AS5  C4H  3  7.2   3/4  SES</v>
          </cell>
        </row>
        <row r="584">
          <cell r="A584" t="str">
            <v>AS5  C4H  4  7.2   3/4  SES</v>
          </cell>
        </row>
        <row r="585">
          <cell r="A585" t="str">
            <v>AS5  C4V  1  7.2   3/4  SES</v>
          </cell>
        </row>
        <row r="586">
          <cell r="A586" t="str">
            <v>AS5  C5H  2  7.2   3/4  Other</v>
          </cell>
        </row>
        <row r="587">
          <cell r="A587" t="str">
            <v>AS5  C5H  2  7.2   3/4  SES</v>
          </cell>
        </row>
        <row r="588">
          <cell r="A588" t="str">
            <v>AS5  C5H  3  7.2   3/4  SES</v>
          </cell>
        </row>
        <row r="589">
          <cell r="A589" t="str">
            <v>AS5  C5H  4  7.2   3/4  GCUK</v>
          </cell>
        </row>
        <row r="590">
          <cell r="A590" t="str">
            <v>AS5  C5H  4  7.2   3/4  SES</v>
          </cell>
        </row>
        <row r="591">
          <cell r="A591" t="str">
            <v>AS5  C5H  9_4  7.2   3/4  SES</v>
          </cell>
        </row>
        <row r="592">
          <cell r="A592" t="str">
            <v>AS5  C5V  1  7.2   3/4  SES</v>
          </cell>
        </row>
        <row r="593">
          <cell r="A593" t="str">
            <v>AS5  C5V  2  7.2   3/4  SES</v>
          </cell>
        </row>
        <row r="594">
          <cell r="A594" t="str">
            <v>AS5  C5V  3  7.2   3/4  SES</v>
          </cell>
        </row>
        <row r="595">
          <cell r="A595" t="str">
            <v>AS5  C5V  4  7.2   3/4  SES</v>
          </cell>
        </row>
        <row r="596">
          <cell r="A596" t="str">
            <v>AS5  C6V  1  7.2   3/4  SES</v>
          </cell>
        </row>
        <row r="597">
          <cell r="A597" t="str">
            <v>AS5  C7H  -1  7.2   3/4  SES</v>
          </cell>
        </row>
        <row r="598">
          <cell r="A598" t="str">
            <v>AS5  C7H  2  7.2   3/4  SES</v>
          </cell>
        </row>
        <row r="599">
          <cell r="A599" t="str">
            <v>AS5  C7H  3  7.2   3/4  SES</v>
          </cell>
        </row>
        <row r="600">
          <cell r="A600" t="str">
            <v>AS5  C7H  4  7.2   3/4  SES</v>
          </cell>
        </row>
        <row r="601">
          <cell r="A601" t="str">
            <v>AS5  C7H  9B  7.2   3/4  SES</v>
          </cell>
        </row>
        <row r="602">
          <cell r="A602" t="str">
            <v>AS5  C7H  9C  7.2   3/4  SES</v>
          </cell>
        </row>
        <row r="603">
          <cell r="A603" t="str">
            <v>AS5  C7H  9D  7.2   3/4  SES</v>
          </cell>
        </row>
        <row r="604">
          <cell r="A604" t="str">
            <v>AS5  C7H  9E  7.2   3/4  SES</v>
          </cell>
        </row>
        <row r="605">
          <cell r="A605" t="str">
            <v>AS5  C7V  1  7.2   3/4  SES</v>
          </cell>
        </row>
        <row r="606">
          <cell r="A606" t="str">
            <v>AS5  C7V  2  7.2   3/4  SES</v>
          </cell>
        </row>
        <row r="607">
          <cell r="A607" t="str">
            <v>AS5  C7V  3  7.2   3/4  SES</v>
          </cell>
        </row>
        <row r="608">
          <cell r="A608" t="str">
            <v>AS5  C7V  4  7.2   3/4  SES</v>
          </cell>
        </row>
        <row r="609">
          <cell r="A609" t="str">
            <v>AS5  C7V  9BV  8.55  4/5  SES</v>
          </cell>
        </row>
        <row r="610">
          <cell r="A610" t="str">
            <v>AS5  C7V  Quebec (9AV)  7.2   3/4  SES</v>
          </cell>
        </row>
        <row r="611">
          <cell r="A611" t="str">
            <v>AS5  C7V  Quebec (9AV) i60  7.2   3/4  SES</v>
          </cell>
        </row>
        <row r="612">
          <cell r="A612" t="str">
            <v>AS5  C7V  Romeo (9BV)  7.2   3/4  SES</v>
          </cell>
        </row>
        <row r="613">
          <cell r="A613" t="str">
            <v>AS5  C8H  1  7.2   3/4  Other</v>
          </cell>
        </row>
        <row r="614">
          <cell r="A614" t="str">
            <v>AS5  C8H  1  7.2   3/4  SES</v>
          </cell>
        </row>
        <row r="615">
          <cell r="A615" t="str">
            <v>AS5  C8H  1+2  14.4  3/4  Other</v>
          </cell>
        </row>
        <row r="616">
          <cell r="A616" t="str">
            <v>AS5  C8H  2  7.2   3/4  Other</v>
          </cell>
        </row>
        <row r="617">
          <cell r="A617" t="str">
            <v>AS5  C8H  2  7.2   3/4  SES</v>
          </cell>
        </row>
        <row r="618">
          <cell r="A618" t="str">
            <v>AS5  C8H  3  7.2   3/4  SES</v>
          </cell>
        </row>
        <row r="619">
          <cell r="A619" t="str">
            <v>AS5  C8H  4  7.2   3/4  SES</v>
          </cell>
        </row>
        <row r="620">
          <cell r="A620" t="str">
            <v>AS5  C8H  9B  7.2   3/4  SES</v>
          </cell>
        </row>
        <row r="621">
          <cell r="A621" t="str">
            <v>AS5  C8H  9C  7.2   3/4  SES</v>
          </cell>
        </row>
        <row r="622">
          <cell r="A622" t="str">
            <v>AS5  C8H  9D  7.2   3/4  SES</v>
          </cell>
        </row>
        <row r="623">
          <cell r="A623" t="str">
            <v>AS5  C8H  9E  7.2   3/4  SES</v>
          </cell>
        </row>
        <row r="624">
          <cell r="A624" t="str">
            <v>AS5  C8V  1  7.2   3/4  Other</v>
          </cell>
        </row>
        <row r="625">
          <cell r="A625" t="str">
            <v>AS5  C8V  2  7.2  3/4  SES</v>
          </cell>
        </row>
        <row r="626">
          <cell r="A626" t="str">
            <v>AS5  C8V  3  7.2   3/4  SES</v>
          </cell>
        </row>
        <row r="627">
          <cell r="A627" t="str">
            <v>AS5  C8V  4  7.2   3/4  SES</v>
          </cell>
        </row>
        <row r="628">
          <cell r="A628" t="str">
            <v>AS5  C8V  9AV  7.2   3/4  SES</v>
          </cell>
        </row>
        <row r="629">
          <cell r="A629" t="str">
            <v>AS5  C9H  OU9 Feed 1 SID60 30 M  5/6  SES</v>
          </cell>
        </row>
        <row r="630">
          <cell r="A630" t="str">
            <v>AS5  C9V  1  7.2   3/4  SES</v>
          </cell>
        </row>
        <row r="631">
          <cell r="A631" t="str">
            <v>AS5  C9V  2  7.2   3/4  SES</v>
          </cell>
        </row>
        <row r="632">
          <cell r="A632" t="str">
            <v>AS5  C9V  3  7.2   3/4  SES</v>
          </cell>
        </row>
        <row r="633">
          <cell r="A633" t="str">
            <v>AS5  C9V  4  7.2   3/4  SES</v>
          </cell>
        </row>
        <row r="634">
          <cell r="A634" t="str">
            <v>AS5  C9V  9_1V  7.2   3/4  SES</v>
          </cell>
        </row>
        <row r="635">
          <cell r="A635" t="str">
            <v>AS5  C9V  9_2V  7.2   3/4  SES</v>
          </cell>
        </row>
        <row r="636">
          <cell r="A636" t="str">
            <v>AS5  C9V  9_3V  7.2   3/4  SES</v>
          </cell>
        </row>
        <row r="637">
          <cell r="A637" t="str">
            <v>AS5  C9V  9_4V  7.2   3/4  SES</v>
          </cell>
        </row>
        <row r="638">
          <cell r="A638" t="str">
            <v>AS5  C9V  9AV  7.2   3/4  SES</v>
          </cell>
        </row>
        <row r="639">
          <cell r="A639" t="str">
            <v>AS5  C9V  9BV  7.2   3/4  SES</v>
          </cell>
        </row>
        <row r="640">
          <cell r="A640" t="str">
            <v>AS5  K6H  6  7.2   3/4  SES</v>
          </cell>
        </row>
        <row r="641">
          <cell r="A641" t="str">
            <v>AS5  Ku  K5H-6  7.2   3/4  SES</v>
          </cell>
        </row>
        <row r="642">
          <cell r="A642" t="str">
            <v>AS7  C1H-4  N/A  7.12  3/4  SES</v>
          </cell>
        </row>
        <row r="643">
          <cell r="A643" t="str">
            <v/>
          </cell>
        </row>
        <row r="644">
          <cell r="A644" t="str">
            <v/>
          </cell>
        </row>
        <row r="645">
          <cell r="A645" t="str">
            <v/>
          </cell>
        </row>
        <row r="646">
          <cell r="A646" t="str">
            <v/>
          </cell>
        </row>
        <row r="647">
          <cell r="A647" t="str">
            <v/>
          </cell>
        </row>
        <row r="648">
          <cell r="A648" t="str">
            <v/>
          </cell>
        </row>
        <row r="649">
          <cell r="A649" t="str">
            <v/>
          </cell>
        </row>
        <row r="650">
          <cell r="A650" t="str">
            <v/>
          </cell>
        </row>
        <row r="651">
          <cell r="A651" t="str">
            <v/>
          </cell>
        </row>
        <row r="652">
          <cell r="A652" t="str">
            <v/>
          </cell>
        </row>
        <row r="653">
          <cell r="A653" t="str">
            <v/>
          </cell>
        </row>
        <row r="654">
          <cell r="A654" t="str">
            <v/>
          </cell>
        </row>
        <row r="655">
          <cell r="A655" t="str">
            <v/>
          </cell>
        </row>
        <row r="656">
          <cell r="A656" t="str">
            <v/>
          </cell>
        </row>
        <row r="657">
          <cell r="A657" t="str">
            <v/>
          </cell>
        </row>
        <row r="658">
          <cell r="A658" t="str">
            <v/>
          </cell>
        </row>
        <row r="659">
          <cell r="A659" t="str">
            <v/>
          </cell>
        </row>
        <row r="660">
          <cell r="A660" t="str">
            <v/>
          </cell>
        </row>
        <row r="661">
          <cell r="A661" t="str">
            <v/>
          </cell>
        </row>
        <row r="662">
          <cell r="A662" t="str">
            <v/>
          </cell>
        </row>
        <row r="663">
          <cell r="A663" t="str">
            <v/>
          </cell>
        </row>
        <row r="664">
          <cell r="A664" t="str">
            <v/>
          </cell>
        </row>
        <row r="665">
          <cell r="A665" t="str">
            <v/>
          </cell>
        </row>
        <row r="666">
          <cell r="A666" t="str">
            <v/>
          </cell>
        </row>
        <row r="667">
          <cell r="A667" t="str">
            <v/>
          </cell>
        </row>
        <row r="668">
          <cell r="A668" t="str">
            <v/>
          </cell>
        </row>
        <row r="669">
          <cell r="A669" t="str">
            <v/>
          </cell>
        </row>
        <row r="670">
          <cell r="A670" t="str">
            <v/>
          </cell>
        </row>
        <row r="671">
          <cell r="A671" t="str">
            <v/>
          </cell>
        </row>
        <row r="672">
          <cell r="A672" t="str">
            <v/>
          </cell>
        </row>
        <row r="673">
          <cell r="A673" t="str">
            <v/>
          </cell>
        </row>
        <row r="674">
          <cell r="A674" t="str">
            <v/>
          </cell>
        </row>
        <row r="675">
          <cell r="A675" t="str">
            <v/>
          </cell>
        </row>
        <row r="676">
          <cell r="A676" t="str">
            <v/>
          </cell>
        </row>
        <row r="677">
          <cell r="A677" t="str">
            <v/>
          </cell>
        </row>
        <row r="678">
          <cell r="A678" t="str">
            <v/>
          </cell>
        </row>
        <row r="679">
          <cell r="A679" t="str">
            <v/>
          </cell>
        </row>
        <row r="680">
          <cell r="A680" t="str">
            <v/>
          </cell>
        </row>
        <row r="681">
          <cell r="A681" t="str">
            <v/>
          </cell>
        </row>
        <row r="682">
          <cell r="A682" t="str">
            <v/>
          </cell>
        </row>
        <row r="683">
          <cell r="A683" t="str">
            <v/>
          </cell>
        </row>
        <row r="684">
          <cell r="A684" t="str">
            <v/>
          </cell>
        </row>
        <row r="685">
          <cell r="A685" t="str">
            <v/>
          </cell>
        </row>
        <row r="686">
          <cell r="A686" t="str">
            <v/>
          </cell>
        </row>
        <row r="687">
          <cell r="A687" t="str">
            <v/>
          </cell>
        </row>
        <row r="688">
          <cell r="A688" t="str">
            <v/>
          </cell>
        </row>
        <row r="689">
          <cell r="A689" t="str">
            <v/>
          </cell>
        </row>
        <row r="690">
          <cell r="A690" t="str">
            <v/>
          </cell>
        </row>
        <row r="691">
          <cell r="A691" t="str">
            <v/>
          </cell>
        </row>
        <row r="692">
          <cell r="A692" t="str">
            <v/>
          </cell>
        </row>
        <row r="693">
          <cell r="A693" t="str">
            <v/>
          </cell>
        </row>
        <row r="694">
          <cell r="A694" t="str">
            <v/>
          </cell>
        </row>
        <row r="695">
          <cell r="A695" t="str">
            <v/>
          </cell>
        </row>
        <row r="696">
          <cell r="A696" t="str">
            <v/>
          </cell>
        </row>
        <row r="697">
          <cell r="A697" t="str">
            <v/>
          </cell>
        </row>
        <row r="698">
          <cell r="A698" t="str">
            <v/>
          </cell>
        </row>
        <row r="699">
          <cell r="A699" t="str">
            <v/>
          </cell>
        </row>
        <row r="700">
          <cell r="A700" t="str">
            <v/>
          </cell>
        </row>
        <row r="701">
          <cell r="A701" t="str">
            <v/>
          </cell>
        </row>
        <row r="702">
          <cell r="A702" t="str">
            <v/>
          </cell>
        </row>
        <row r="703">
          <cell r="A703" t="str">
            <v/>
          </cell>
        </row>
        <row r="705">
          <cell r="A705" t="str">
            <v>TBC</v>
          </cell>
        </row>
        <row r="706">
          <cell r="A706" t="str">
            <v>N/A</v>
          </cell>
        </row>
        <row r="707">
          <cell r="A707" t="str">
            <v>E113 WA  K13  Upper  15 M  3/5  i60  Other</v>
          </cell>
        </row>
        <row r="708">
          <cell r="A708" t="str">
            <v>G16  20C  Slot D  7.25  3/4  i60  SES</v>
          </cell>
        </row>
        <row r="709">
          <cell r="A709" t="str">
            <v>G17  17K  NA  15 M  3/5  i60  Other</v>
          </cell>
        </row>
        <row r="710">
          <cell r="A710" t="str">
            <v>IS21  19C  Slot A  7.2  3/4  i60 SES</v>
          </cell>
        </row>
        <row r="711">
          <cell r="A711" t="str">
            <v>IS21  19C  Slot B  7.2   3/4  i60  GCUK</v>
          </cell>
        </row>
        <row r="712">
          <cell r="A712" t="str">
            <v>IS21  19C  Slot C   7.5   5/6  i60 SES</v>
          </cell>
        </row>
        <row r="713">
          <cell r="A713" t="str">
            <v>IS21  19C  Slot C  7.2   3/4  i60  GCUK</v>
          </cell>
        </row>
        <row r="714">
          <cell r="A714" t="str">
            <v>IS34  01C  D  7.2   3/4  i60  GCUK</v>
          </cell>
        </row>
        <row r="715">
          <cell r="A715" t="str">
            <v>IS34  01C  Slot A  7.2   3/4  i60  SES</v>
          </cell>
        </row>
        <row r="716">
          <cell r="A716" t="str">
            <v>IS34  02C  F  7.2   3/4  i60  GCUK</v>
          </cell>
        </row>
        <row r="717">
          <cell r="A717" t="str">
            <v>IS34  09C  Slot A   7.2  3/4  i60 SES</v>
          </cell>
        </row>
        <row r="718">
          <cell r="A718" t="str">
            <v>IS34  09C  Slot B   7.2  3/4  i60 SES</v>
          </cell>
        </row>
        <row r="719">
          <cell r="A719" t="str">
            <v>IS34  12C  Slot A   7.2  3/4  i60 SES</v>
          </cell>
        </row>
        <row r="720">
          <cell r="A720" t="str">
            <v>IS34  12C  Slot A  7.2   3/4  i60  SES (DL 3959.800 H)</v>
          </cell>
        </row>
        <row r="721">
          <cell r="A721" t="str">
            <v>IS34  12C  Slot B   7.2  3/4  i60 SES</v>
          </cell>
        </row>
        <row r="722">
          <cell r="A722" t="str">
            <v>IS34  12C  Slot C   7.2  3/4  i60 SES</v>
          </cell>
        </row>
        <row r="723">
          <cell r="A723" t="str">
            <v>IS34  12C  Slot D   7.2  3/4  i60 SES</v>
          </cell>
        </row>
        <row r="724">
          <cell r="A724" t="str">
            <v>IS34  AE11C  N/A   7.5   5/6  i60 SES</v>
          </cell>
        </row>
        <row r="725">
          <cell r="A725" t="str">
            <v>IS34  AE20C  20E9 IMG LEASE 1   7.2   3/4  i60  EBU</v>
          </cell>
        </row>
        <row r="726">
          <cell r="A726" t="str">
            <v>SES1  23  A36  30 M  3/4  i60  SES</v>
          </cell>
        </row>
        <row r="727">
          <cell r="A727" t="str">
            <v>SES1  23C  23AB  15   5/6  i60  SES</v>
          </cell>
        </row>
        <row r="728">
          <cell r="A728" t="str">
            <v>SES1  23C  23C  7.5   5/6  i60  SES</v>
          </cell>
        </row>
        <row r="729">
          <cell r="A729" t="str">
            <v>SES1  C15  A9  7.2   3/4  i60  SES</v>
          </cell>
        </row>
        <row r="730">
          <cell r="A730" t="str">
            <v>SES1  K13  B9  7.2   3/4  i60  SES</v>
          </cell>
        </row>
        <row r="731">
          <cell r="A731" t="str">
            <v>SES11  C15  A18  14.5  3/4  i60  SES</v>
          </cell>
        </row>
        <row r="732">
          <cell r="A732" t="str">
            <v>SES14  HEL 09 - HER 09  9A36 MCPC Service 01  35.2  32/45  i60  EBU</v>
          </cell>
        </row>
        <row r="733">
          <cell r="A733" t="str">
            <v>SES14  HEL 09 - HER 09  9A9  7.2   3/4  i60  EBU</v>
          </cell>
        </row>
        <row r="734">
          <cell r="A734" t="str">
            <v>SES14  HEL 09 - HER 09  9E9  7.2   3/4  i60  EBU</v>
          </cell>
        </row>
        <row r="735">
          <cell r="A735" t="str">
            <v>SES14  HEL 19 - HER 19  19A72 MCPC Service 01  70.0  2/3  i60  EBU</v>
          </cell>
        </row>
        <row r="736">
          <cell r="A736" t="str">
            <v>SES14  HEL 19 - HER 19  19A72 MCPC Service 02  70.0  2/3  i60  EBU</v>
          </cell>
        </row>
        <row r="737">
          <cell r="A737" t="str">
            <v>SES14  HEL 19 - HER 19  19A72 MCPC Service 03  70.0  2/3  i60  EBU</v>
          </cell>
        </row>
        <row r="738">
          <cell r="A738" t="str">
            <v>SES14  HEL 19 - HER 19  19A72 MCPC Service 04  70.0  2/3  i60  EBU</v>
          </cell>
        </row>
        <row r="739">
          <cell r="A739" t="str">
            <v>SES14  HEL 19 - HER 19  19A72 MCPC Service 09  70.0  2/3  i60  EBU</v>
          </cell>
        </row>
        <row r="740">
          <cell r="A740" t="str">
            <v>SES14  HEL 19 - HER 19  19A72 MCPC Service 10  70.0  2/3  i60  EBU</v>
          </cell>
        </row>
        <row r="741">
          <cell r="A741" t="str">
            <v>SES14  HEL 19 - HER 19  19A72 MCPC Service 11  70.0  3/4  i60  EBU</v>
          </cell>
        </row>
        <row r="742">
          <cell r="A742" t="str">
            <v>SES14  HEL 19 - HER 19  19A72 MCPC Service 12 70.0  2/3  i60  EBU</v>
          </cell>
        </row>
        <row r="743">
          <cell r="A743" t="str">
            <v>SES14  HEL-01/HER-01  9/1  7.2   3/4  i60  SES</v>
          </cell>
        </row>
        <row r="744">
          <cell r="A744" t="str">
            <v>SES14  HEL-01/HER-01  9/1  7.5   5/6  i60  SES</v>
          </cell>
        </row>
        <row r="745">
          <cell r="A745" t="str">
            <v>SES14  HEL-03/HER-03  9/5  7.2   3/4  i60  SES</v>
          </cell>
        </row>
        <row r="746">
          <cell r="A746" t="str">
            <v>SES14  HEL-03/HER-03  9/5  7.5   5/6  i60  SES</v>
          </cell>
        </row>
        <row r="747">
          <cell r="A747" t="str">
            <v>SES14  HEL-03/HER-03  9/6  7.2  3/4  i60  SES</v>
          </cell>
        </row>
        <row r="748">
          <cell r="A748" t="str">
            <v>SES14  HEL-03/HER-03  9/7  7.2  3/4  i60  SES</v>
          </cell>
        </row>
        <row r="749">
          <cell r="A749" t="str">
            <v>SES14  HEL-03/HER-03  9/7  7.5   5/6  i60  SES</v>
          </cell>
        </row>
        <row r="750">
          <cell r="A750" t="str">
            <v>SES14  HEL-03/HER-03  9/8  7.2   3/4  i60  SES</v>
          </cell>
        </row>
        <row r="751">
          <cell r="A751" t="str">
            <v>SES14  HEL-03/HER-03  9/8  7.2   3/4  i60  SES</v>
          </cell>
        </row>
        <row r="752">
          <cell r="A752" t="str">
            <v>SES14  HEL-03/HER-03  9/8  7.5   5/6  i60  SES</v>
          </cell>
        </row>
        <row r="753">
          <cell r="A753" t="str">
            <v>SES14  HEL-05/HER-05  9/1  7.2   3/4  i60  SES</v>
          </cell>
        </row>
        <row r="754">
          <cell r="A754" t="str">
            <v>SES14  HEL-05/HER-05  9/2  7.2   3/4  i60  SES</v>
          </cell>
        </row>
        <row r="755">
          <cell r="A755" t="str">
            <v>SES14  HEL-05/HER-05  9/3  7.2   3/4  i60  SES</v>
          </cell>
        </row>
        <row r="756">
          <cell r="A756" t="str">
            <v>SES14  HEL-05/HER-05  9/4  7.2   3/4  i60  SES</v>
          </cell>
        </row>
        <row r="757">
          <cell r="A757" t="str">
            <v>SES14  HEL-05/HER-05  9/4  7.5   5/6  i60  SES</v>
          </cell>
        </row>
        <row r="758">
          <cell r="A758" t="str">
            <v>SES14  HEL-07/HER-07  9/1  7.2  3/4  i60  SES</v>
          </cell>
        </row>
        <row r="759">
          <cell r="A759" t="str">
            <v>SES14  HEL-07/HER-07  Ch 9/2  7.5   5/6  i60  SES</v>
          </cell>
        </row>
        <row r="760">
          <cell r="A760" t="str">
            <v>SES14  HEL-11/HER-11  9/1  7.5   5/6  i60  SES</v>
          </cell>
        </row>
        <row r="761">
          <cell r="A761" t="str">
            <v>SES14  HEL-11/HER-11  9/2  7.5   5/6  i60  SES</v>
          </cell>
        </row>
        <row r="762">
          <cell r="A762" t="str">
            <v>SES14  HEL-11/HER-11  A9 (9/1)  7.2   3/4  i60  SES</v>
          </cell>
        </row>
        <row r="763">
          <cell r="A763" t="str">
            <v>SES14  HEL-11/HER-11  B9 (9/2)  7.2   3/4  i60  SES</v>
          </cell>
        </row>
        <row r="764">
          <cell r="A764" t="str">
            <v>SES14  HEL-13/HER-13   9/1 (3963.500 R)  7.2   3/4  i60  SES</v>
          </cell>
        </row>
        <row r="765">
          <cell r="A765" t="str">
            <v>SES14  HEL-13/HER-13  9/1  7.2   3/4  i60  SES</v>
          </cell>
        </row>
        <row r="766">
          <cell r="A766" t="str">
            <v>SES14  HEL-13/HER-13  9/2  7.2   3/4  i60  SES</v>
          </cell>
        </row>
        <row r="767">
          <cell r="A767" t="str">
            <v>SES14  HEL-13/HER-13  9/2  7.2   3/4  i60  SES (3972.500 R)</v>
          </cell>
        </row>
        <row r="768">
          <cell r="A768" t="str">
            <v>SES14  HEL-13/HER-13  9/3  7.2   3/4  i60  SES</v>
          </cell>
        </row>
        <row r="769">
          <cell r="A769" t="str">
            <v>SES14  HEL-13/HER-13  9/4  7.2   3/4  i60  SES</v>
          </cell>
        </row>
        <row r="770">
          <cell r="A770" t="str">
            <v>SES14  HEL-13/HER-13  A9  7.2   3/4  i60  SES</v>
          </cell>
        </row>
        <row r="771">
          <cell r="A771" t="str">
            <v>SES14  HEL-13/HER-13  B9  7.2   3/4  i60  SES</v>
          </cell>
        </row>
        <row r="772">
          <cell r="A772" t="str">
            <v>SES14  HER-06/HEL-06  9/1  7.2   3/4  i60  SES</v>
          </cell>
        </row>
        <row r="773">
          <cell r="A773" t="str">
            <v>SES14  HER-06/HEL-06  9/2  7.2   3/4  i60  SES</v>
          </cell>
        </row>
        <row r="774">
          <cell r="A774" t="str">
            <v>SES14  HER-06/HEL-06  9/3  7.2   3/4  i60  SES</v>
          </cell>
        </row>
        <row r="775">
          <cell r="A775" t="str">
            <v>SES14  HER-06/HEL-06  9/4  7.2   3/4  i60  SES</v>
          </cell>
        </row>
        <row r="776">
          <cell r="A776" t="str">
            <v>SES14  HER-06/HEL-06  9/4  7.5   5/6  i60  SES</v>
          </cell>
        </row>
        <row r="777">
          <cell r="A777" t="str">
            <v>SES14  HER-08/HEL-08   9/1  7.2   3/4  i60  SES</v>
          </cell>
        </row>
        <row r="778">
          <cell r="A778" t="str">
            <v>SES14  HER-08/HEL-08  9/1  7.5   5/6  i60  SES</v>
          </cell>
        </row>
        <row r="779">
          <cell r="A779" t="str">
            <v>SES14  HER-08/HEL-08  9/2  7.2   3/4  i60  SES</v>
          </cell>
        </row>
        <row r="780">
          <cell r="A780" t="str">
            <v>SES14  HER-08/HEL-08  9/3  7.5   5/6  i60  SES</v>
          </cell>
        </row>
        <row r="781">
          <cell r="A781" t="str">
            <v>SES14  HER-08/HEL-08  9/4  7.2   3/4  i60  SES</v>
          </cell>
        </row>
        <row r="782">
          <cell r="A782" t="str">
            <v>SES14  HER-08/HEL-08  9/4  7.5   5/6  i60  SES</v>
          </cell>
        </row>
        <row r="783">
          <cell r="A783" t="str">
            <v>SES14  HER-10/HEL-10  9/1  7.2   3/4  i60  SES</v>
          </cell>
        </row>
        <row r="784">
          <cell r="A784" t="str">
            <v>SES14  HER-10/HEL-10  9/1  7.2   3/4  i60  SES (3870.000 V)</v>
          </cell>
        </row>
        <row r="785">
          <cell r="A785" t="str">
            <v>SES14  HER-10/HEL-10  9/2  7.2   3/4  i60  SES</v>
          </cell>
        </row>
        <row r="786">
          <cell r="A786" t="str">
            <v>SES14  HER-10/HEL-10  A9  7.2   3/4  i60  SES</v>
          </cell>
        </row>
        <row r="787">
          <cell r="A787" t="str">
            <v>SES14  HER-10/HEL-10  B9  7.2   3/4  i60  SES</v>
          </cell>
        </row>
        <row r="788">
          <cell r="A788" t="str">
            <v>SES14  HER-10/HEL-10  C9  7.2   3/4  i60  SES</v>
          </cell>
        </row>
        <row r="789">
          <cell r="A789" t="str">
            <v>SES14  HER-10/HEL-10  D9  7.2   3/4  i60  SES</v>
          </cell>
        </row>
        <row r="790">
          <cell r="A790" t="str">
            <v>SES14  HER-12/HEL-12  9/1  7.2   3/4  i60  SES</v>
          </cell>
        </row>
        <row r="791">
          <cell r="A791" t="str">
            <v>SES14  HER-12/HEL-12  9/2  7.2   3/4  i60  SES</v>
          </cell>
        </row>
        <row r="792">
          <cell r="A792" t="str">
            <v>SES14  HER-12/HEL-12  9/3  7.2   3/4  i60  SES</v>
          </cell>
        </row>
        <row r="793">
          <cell r="A793" t="str">
            <v>SES14  HER-12/HEL-12  9/4  7.2   3/4  i60  SES</v>
          </cell>
        </row>
        <row r="794">
          <cell r="A794" t="str">
            <v>SES14  HER-20 - HEL-20  36_1  MCPC Service 06  35.2  32/45  i60  EBU</v>
          </cell>
        </row>
        <row r="795">
          <cell r="A795" t="str">
            <v>SES14  HER-20/HEL-20  9/1  7.2   3/4  i60  SES</v>
          </cell>
        </row>
        <row r="796">
          <cell r="A796" t="str">
            <v>SES14  HER-20/HEL-20  9/1  7.5  5/6  i60  SES</v>
          </cell>
        </row>
        <row r="797">
          <cell r="A797" t="str">
            <v>SES14  HER-20/HEL-20  9/2  7.2   3/4  i60  SES</v>
          </cell>
        </row>
        <row r="798">
          <cell r="A798" t="str">
            <v>SES14  HER-20/HEL-20  9/3  7.2   3/4  i60  SES</v>
          </cell>
        </row>
        <row r="799">
          <cell r="A799" t="str">
            <v>SES14  HER-20/HEL-20  9/4  7.2   3/4  i60  SES</v>
          </cell>
        </row>
        <row r="800">
          <cell r="A800" t="str">
            <v>SES14  HER-20/HEL-20  9/5  7.2   3/4  i60  SES</v>
          </cell>
        </row>
        <row r="801">
          <cell r="A801" t="str">
            <v>SES14  HER-20/HEL-20  9/6  7.2   3/4  i60  SES</v>
          </cell>
        </row>
        <row r="802">
          <cell r="A802" t="str">
            <v>SES14  HER-20/HEL-20  9/7  7.2   3/4  i60  SES</v>
          </cell>
        </row>
        <row r="803">
          <cell r="A803" t="str">
            <v>SES14  SES-14 HEL-11/HER-11 (2)  CH9/1  7.2   3/4  i60  SES</v>
          </cell>
        </row>
        <row r="804">
          <cell r="A804" t="str">
            <v>SES14  SES-14 HEL-13/HER-13 (2)  B9  7.2   3/4  i60  SES</v>
          </cell>
        </row>
        <row r="805">
          <cell r="A805" t="str">
            <v>SES14  SES-14 HER-20/HEL-20  9/7  7.2   3/4  i60  SES</v>
          </cell>
        </row>
        <row r="806">
          <cell r="A806" t="str">
            <v>SES14  SES-14 HER-20/HEL-20  CH9/5  7.2   3/4  i60  SES</v>
          </cell>
        </row>
        <row r="807">
          <cell r="A807" t="str">
            <v>SES2  C22  A9  7.2   3/4  i60  SES</v>
          </cell>
        </row>
        <row r="808">
          <cell r="A808" t="str">
            <v>SES3  K11  A18  14.4  3/4  i60  SES</v>
          </cell>
        </row>
        <row r="809">
          <cell r="A809" t="str">
            <v>SES3  K17  A18  14.5  3/4  i60  SES</v>
          </cell>
        </row>
        <row r="810">
          <cell r="A810" t="str">
            <v>SES3  K18  A18  14.5  2/3  i60  SES</v>
          </cell>
        </row>
        <row r="811">
          <cell r="A811" t="str">
            <v>SES3  K18  A18  14.5  3/4  i60  SES</v>
          </cell>
        </row>
        <row r="812">
          <cell r="A812" t="str">
            <v>SES3  K18  A9  7.2   3/4  i60  SES</v>
          </cell>
        </row>
        <row r="813">
          <cell r="A813" t="str">
            <v>SES3  SES3/C09  C09C  7.2   3/4  i60  SES</v>
          </cell>
        </row>
        <row r="814">
          <cell r="A814" t="str">
            <v/>
          </cell>
        </row>
        <row r="815">
          <cell r="A815" t="str">
            <v/>
          </cell>
        </row>
        <row r="816">
          <cell r="A816" t="str">
            <v/>
          </cell>
        </row>
        <row r="817">
          <cell r="A817" t="str">
            <v/>
          </cell>
        </row>
        <row r="818">
          <cell r="A818" t="str">
            <v/>
          </cell>
        </row>
        <row r="819">
          <cell r="A819" t="str">
            <v/>
          </cell>
        </row>
        <row r="820">
          <cell r="A820" t="str">
            <v/>
          </cell>
        </row>
        <row r="821">
          <cell r="A821" t="str">
            <v/>
          </cell>
        </row>
        <row r="822">
          <cell r="A822" t="str">
            <v/>
          </cell>
        </row>
        <row r="823">
          <cell r="A823" t="str">
            <v/>
          </cell>
        </row>
        <row r="824">
          <cell r="A824" t="str">
            <v/>
          </cell>
        </row>
        <row r="825">
          <cell r="A825" t="str">
            <v/>
          </cell>
        </row>
        <row r="826">
          <cell r="A826" t="str">
            <v/>
          </cell>
        </row>
        <row r="827">
          <cell r="A827" t="str">
            <v/>
          </cell>
        </row>
        <row r="828">
          <cell r="A828" t="str">
            <v/>
          </cell>
        </row>
        <row r="829">
          <cell r="A829" t="str">
            <v/>
          </cell>
        </row>
        <row r="830">
          <cell r="A830" t="str">
            <v/>
          </cell>
        </row>
        <row r="831">
          <cell r="A831" t="str">
            <v/>
          </cell>
        </row>
        <row r="832">
          <cell r="A832" t="str">
            <v/>
          </cell>
        </row>
        <row r="833">
          <cell r="A833" t="str">
            <v/>
          </cell>
        </row>
        <row r="834">
          <cell r="A834" t="str">
            <v/>
          </cell>
        </row>
        <row r="835">
          <cell r="A835" t="str">
            <v/>
          </cell>
        </row>
        <row r="836">
          <cell r="A836" t="str">
            <v/>
          </cell>
        </row>
        <row r="837">
          <cell r="A837" t="str">
            <v/>
          </cell>
        </row>
        <row r="838">
          <cell r="A838" t="str">
            <v/>
          </cell>
        </row>
        <row r="839">
          <cell r="A839" t="str">
            <v/>
          </cell>
        </row>
        <row r="840">
          <cell r="A840" t="str">
            <v/>
          </cell>
        </row>
        <row r="841">
          <cell r="A841" t="str">
            <v/>
          </cell>
        </row>
        <row r="842">
          <cell r="A842" t="str">
            <v/>
          </cell>
        </row>
        <row r="843">
          <cell r="A843" t="str">
            <v/>
          </cell>
        </row>
        <row r="844">
          <cell r="A844" t="str">
            <v/>
          </cell>
        </row>
        <row r="845">
          <cell r="A845" t="str">
            <v/>
          </cell>
        </row>
        <row r="846">
          <cell r="A846" t="str">
            <v/>
          </cell>
        </row>
        <row r="847">
          <cell r="A847" t="str">
            <v/>
          </cell>
        </row>
        <row r="848">
          <cell r="A848" t="str">
            <v/>
          </cell>
        </row>
        <row r="849">
          <cell r="A849" t="str">
            <v/>
          </cell>
        </row>
        <row r="850">
          <cell r="A850" t="str">
            <v/>
          </cell>
        </row>
        <row r="851">
          <cell r="A851" t="str">
            <v/>
          </cell>
        </row>
        <row r="852">
          <cell r="A852" t="str">
            <v/>
          </cell>
        </row>
        <row r="853">
          <cell r="A853" t="str">
            <v/>
          </cell>
        </row>
        <row r="854">
          <cell r="A854" t="str">
            <v/>
          </cell>
        </row>
        <row r="855">
          <cell r="A855" t="str">
            <v/>
          </cell>
        </row>
        <row r="856">
          <cell r="A856" t="str">
            <v/>
          </cell>
        </row>
        <row r="857">
          <cell r="A857" t="str">
            <v/>
          </cell>
        </row>
        <row r="858">
          <cell r="A858" t="str">
            <v/>
          </cell>
        </row>
        <row r="859">
          <cell r="A859" t="str">
            <v/>
          </cell>
        </row>
        <row r="860">
          <cell r="A860" t="str">
            <v/>
          </cell>
        </row>
        <row r="861">
          <cell r="A861" t="str">
            <v/>
          </cell>
        </row>
        <row r="862">
          <cell r="A862" t="str">
            <v/>
          </cell>
        </row>
        <row r="863">
          <cell r="A863" t="str">
            <v/>
          </cell>
        </row>
        <row r="864">
          <cell r="A864" t="str">
            <v/>
          </cell>
        </row>
        <row r="865">
          <cell r="A865" t="str">
            <v/>
          </cell>
        </row>
        <row r="866">
          <cell r="A866" t="str">
            <v/>
          </cell>
        </row>
        <row r="867">
          <cell r="A867" t="str">
            <v/>
          </cell>
        </row>
        <row r="868">
          <cell r="A868" t="str">
            <v/>
          </cell>
        </row>
        <row r="869">
          <cell r="A869" t="str">
            <v/>
          </cell>
        </row>
        <row r="870">
          <cell r="A870" t="str">
            <v/>
          </cell>
        </row>
        <row r="871">
          <cell r="A871" t="str">
            <v/>
          </cell>
        </row>
        <row r="872">
          <cell r="A872" t="str">
            <v/>
          </cell>
        </row>
        <row r="873">
          <cell r="A873" t="str">
            <v/>
          </cell>
        </row>
        <row r="874">
          <cell r="A874" t="str">
            <v/>
          </cell>
        </row>
        <row r="875">
          <cell r="A875" t="str">
            <v/>
          </cell>
        </row>
        <row r="876">
          <cell r="A876" t="str">
            <v/>
          </cell>
        </row>
        <row r="877">
          <cell r="A877" t="str">
            <v/>
          </cell>
        </row>
        <row r="878">
          <cell r="A878" t="str">
            <v/>
          </cell>
        </row>
        <row r="879">
          <cell r="A879" t="str">
            <v/>
          </cell>
        </row>
        <row r="880">
          <cell r="A880" t="str">
            <v/>
          </cell>
        </row>
        <row r="881">
          <cell r="A881" t="str">
            <v/>
          </cell>
        </row>
        <row r="882">
          <cell r="A882" t="str">
            <v/>
          </cell>
        </row>
        <row r="883">
          <cell r="A883" t="str">
            <v/>
          </cell>
        </row>
        <row r="884">
          <cell r="A884" t="str">
            <v/>
          </cell>
        </row>
        <row r="885">
          <cell r="A885" t="str">
            <v/>
          </cell>
        </row>
        <row r="886">
          <cell r="A886" t="str">
            <v/>
          </cell>
        </row>
        <row r="887">
          <cell r="A887" t="str">
            <v/>
          </cell>
        </row>
        <row r="888">
          <cell r="A888" t="str">
            <v/>
          </cell>
        </row>
        <row r="889">
          <cell r="A889" t="str">
            <v/>
          </cell>
        </row>
        <row r="890">
          <cell r="A890" t="str">
            <v/>
          </cell>
        </row>
        <row r="891">
          <cell r="A891" t="str">
            <v/>
          </cell>
        </row>
        <row r="892">
          <cell r="A892" t="str">
            <v/>
          </cell>
        </row>
        <row r="893">
          <cell r="A893" t="str">
            <v/>
          </cell>
        </row>
        <row r="894">
          <cell r="A894" t="str">
            <v/>
          </cell>
        </row>
        <row r="895">
          <cell r="A895" t="str">
            <v/>
          </cell>
        </row>
        <row r="896">
          <cell r="A896" t="str">
            <v/>
          </cell>
        </row>
        <row r="897">
          <cell r="A897" t="str">
            <v/>
          </cell>
        </row>
        <row r="898">
          <cell r="A898" t="str">
            <v/>
          </cell>
        </row>
        <row r="899">
          <cell r="A899" t="str">
            <v/>
          </cell>
        </row>
        <row r="900">
          <cell r="A900" t="str">
            <v/>
          </cell>
        </row>
        <row r="901">
          <cell r="A901" t="str">
            <v/>
          </cell>
        </row>
        <row r="902">
          <cell r="A902" t="str">
            <v/>
          </cell>
        </row>
        <row r="903">
          <cell r="A903" t="str">
            <v/>
          </cell>
        </row>
        <row r="904">
          <cell r="A904" t="str">
            <v/>
          </cell>
        </row>
        <row r="905">
          <cell r="A905" t="str">
            <v/>
          </cell>
        </row>
        <row r="906">
          <cell r="A906" t="str">
            <v/>
          </cell>
        </row>
        <row r="907">
          <cell r="A907" t="str">
            <v/>
          </cell>
        </row>
        <row r="908">
          <cell r="A908" t="str">
            <v/>
          </cell>
        </row>
        <row r="909">
          <cell r="A909" t="str">
            <v/>
          </cell>
        </row>
        <row r="910">
          <cell r="A910" t="str">
            <v/>
          </cell>
        </row>
        <row r="911">
          <cell r="A911" t="str">
            <v/>
          </cell>
        </row>
        <row r="912">
          <cell r="A912" t="str">
            <v/>
          </cell>
        </row>
        <row r="913">
          <cell r="A913" t="str">
            <v/>
          </cell>
        </row>
        <row r="914">
          <cell r="A914" t="str">
            <v/>
          </cell>
        </row>
        <row r="915">
          <cell r="A915" t="str">
            <v/>
          </cell>
        </row>
        <row r="916">
          <cell r="A916" t="str">
            <v/>
          </cell>
        </row>
        <row r="917">
          <cell r="A917" t="str">
            <v/>
          </cell>
        </row>
        <row r="918">
          <cell r="A918" t="str">
            <v/>
          </cell>
        </row>
        <row r="919">
          <cell r="A919" t="str">
            <v/>
          </cell>
        </row>
        <row r="920">
          <cell r="A920" t="str">
            <v/>
          </cell>
        </row>
        <row r="921">
          <cell r="A921" t="str">
            <v/>
          </cell>
        </row>
        <row r="922">
          <cell r="A922" t="str">
            <v/>
          </cell>
        </row>
      </sheetData>
      <sheetData sheetId="31"/>
      <sheetData sheetId="32"/>
      <sheetData sheetId="33">
        <row r="1">
          <cell r="EJ1" t="str">
            <v>365  Tue 06 May  AS MONACO v FC BARCELONA</v>
          </cell>
          <cell r="ET1" t="str">
            <v>365  Tue 06 May  AS MONACO v FC BARCELONA</v>
          </cell>
        </row>
        <row r="2">
          <cell r="EJ2" t="str">
            <v>366  Tue 06 May  PANATHINAIKOS AKTOR ATHENS v ANADOLU EFES ISTANBUL</v>
          </cell>
          <cell r="ET2" t="str">
            <v>366  Tue 06 May  PANATHINAIKOS AKTOR ATHENS v ANADOLU EFES ISTANBUL</v>
          </cell>
        </row>
        <row r="3">
          <cell r="EJ3" t="str">
            <v/>
          </cell>
          <cell r="ET3" t="str">
            <v/>
          </cell>
        </row>
        <row r="4">
          <cell r="EJ4" t="str">
            <v/>
          </cell>
          <cell r="ET4" t="str">
            <v/>
          </cell>
        </row>
        <row r="5">
          <cell r="EJ5" t="str">
            <v/>
          </cell>
          <cell r="ET5" t="str">
            <v/>
          </cell>
        </row>
        <row r="6">
          <cell r="EJ6" t="str">
            <v/>
          </cell>
          <cell r="ET6" t="str">
            <v/>
          </cell>
        </row>
        <row r="7">
          <cell r="EJ7" t="str">
            <v/>
          </cell>
          <cell r="ET7" t="str">
            <v/>
          </cell>
        </row>
        <row r="8">
          <cell r="EJ8" t="str">
            <v/>
          </cell>
          <cell r="ET8" t="str">
            <v/>
          </cell>
        </row>
        <row r="9">
          <cell r="EJ9" t="str">
            <v/>
          </cell>
          <cell r="ET9" t="str">
            <v/>
          </cell>
        </row>
        <row r="10">
          <cell r="EJ10" t="str">
            <v/>
          </cell>
          <cell r="ET10" t="str">
            <v/>
          </cell>
        </row>
        <row r="11">
          <cell r="EJ11" t="str">
            <v/>
          </cell>
          <cell r="ET11" t="str">
            <v/>
          </cell>
        </row>
        <row r="12">
          <cell r="EJ12" t="str">
            <v/>
          </cell>
          <cell r="ET12" t="str">
            <v/>
          </cell>
        </row>
        <row r="13">
          <cell r="EJ13" t="str">
            <v/>
          </cell>
          <cell r="ET13" t="str">
            <v/>
          </cell>
        </row>
        <row r="14">
          <cell r="EJ14" t="str">
            <v/>
          </cell>
          <cell r="ET14" t="str">
            <v/>
          </cell>
        </row>
        <row r="15">
          <cell r="EJ15" t="str">
            <v/>
          </cell>
          <cell r="ET15" t="str">
            <v/>
          </cell>
        </row>
        <row r="16">
          <cell r="EJ16" t="str">
            <v/>
          </cell>
        </row>
        <row r="17">
          <cell r="EJ17" t="str">
            <v/>
          </cell>
        </row>
        <row r="18">
          <cell r="EJ18" t="str">
            <v/>
          </cell>
        </row>
        <row r="19">
          <cell r="EJ19" t="str">
            <v/>
          </cell>
        </row>
        <row r="20">
          <cell r="EJ20" t="str">
            <v/>
          </cell>
        </row>
        <row r="21">
          <cell r="EJ21" t="str">
            <v/>
          </cell>
        </row>
      </sheetData>
      <sheetData sheetId="34"/>
      <sheetData sheetId="35">
        <row r="1">
          <cell r="P1" t="str">
            <v>BISS Key Unlocked</v>
          </cell>
        </row>
        <row r="2">
          <cell r="P2" t="str">
            <v>BISS Key Locked</v>
          </cell>
        </row>
      </sheetData>
      <sheetData sheetId="36"/>
      <sheetData sheetId="3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 tint="0.39997558519241921"/>
    <pageSetUpPr fitToPage="1"/>
  </sheetPr>
  <dimension ref="A1:BE779"/>
  <sheetViews>
    <sheetView tabSelected="1" zoomScale="70" zoomScaleNormal="70" workbookViewId="0">
      <pane ySplit="10" topLeftCell="A11" activePane="bottomLeft" state="frozen"/>
      <selection pane="bottomLeft" activeCell="C6" sqref="C6"/>
    </sheetView>
  </sheetViews>
  <sheetFormatPr baseColWidth="10" defaultColWidth="9.5" defaultRowHeight="14.25"/>
  <cols>
    <col min="1" max="1" width="2.5" style="1" customWidth="1"/>
    <col min="2" max="2" width="22.5" customWidth="1"/>
    <col min="3" max="3" width="33.5" style="30" customWidth="1"/>
    <col min="4" max="4" width="9.5" style="31"/>
    <col min="6" max="6" width="46.5" customWidth="1"/>
    <col min="7" max="7" width="43.5" customWidth="1"/>
    <col min="8" max="8" width="8.5" customWidth="1"/>
    <col min="9" max="9" width="12.5" style="32" customWidth="1"/>
    <col min="10" max="10" width="13" style="32" customWidth="1"/>
    <col min="11" max="11" width="10" style="32" customWidth="1"/>
    <col min="12" max="12" width="10.5" style="32" customWidth="1"/>
    <col min="13" max="14" width="13.5" style="32" hidden="1" customWidth="1"/>
    <col min="15" max="15" width="10.5" style="32" customWidth="1"/>
    <col min="16" max="16" width="35.5" style="33" customWidth="1"/>
    <col min="18" max="24" width="9.5" style="1"/>
  </cols>
  <sheetData>
    <row r="1" spans="2:57">
      <c r="B1" s="1" t="s">
        <v>0</v>
      </c>
      <c r="C1" s="2"/>
      <c r="D1" s="3"/>
      <c r="E1" s="1"/>
      <c r="F1" s="1"/>
      <c r="G1" s="1"/>
      <c r="H1" s="1"/>
      <c r="I1" s="4"/>
      <c r="J1" s="4"/>
      <c r="K1" s="4"/>
      <c r="L1" s="4"/>
      <c r="M1" s="4"/>
      <c r="N1" s="4"/>
      <c r="O1" s="4"/>
      <c r="P1" s="5"/>
      <c r="Q1" s="1"/>
      <c r="Y1" s="1"/>
      <c r="Z1" s="1"/>
      <c r="AA1" s="6" t="str">
        <f>'[1]Email to Clients'!B3</f>
        <v>N:\Technical Services\EuroLeague\Euroleague 2024-25\Match Selection Emails\</v>
      </c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</row>
    <row r="2" spans="2:57" ht="15">
      <c r="B2" s="7" t="s">
        <v>1</v>
      </c>
      <c r="C2" s="8" t="s">
        <v>2</v>
      </c>
      <c r="D2" s="3"/>
      <c r="E2" s="1"/>
      <c r="F2" s="1"/>
      <c r="G2" s="1"/>
      <c r="H2" s="1"/>
      <c r="I2" s="4"/>
      <c r="J2" s="4"/>
      <c r="K2" s="4"/>
      <c r="L2" s="4"/>
      <c r="M2" s="4"/>
      <c r="N2" s="4"/>
      <c r="O2" s="4"/>
      <c r="P2" s="5"/>
      <c r="Q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</row>
    <row r="3" spans="2:57">
      <c r="B3" s="1"/>
      <c r="C3" s="1"/>
      <c r="D3" s="3"/>
      <c r="E3" s="1"/>
      <c r="F3" s="1"/>
      <c r="G3" s="1"/>
      <c r="H3" s="1"/>
      <c r="I3" s="4"/>
      <c r="J3" s="4"/>
      <c r="K3" s="4"/>
      <c r="L3" s="4"/>
      <c r="M3" s="4"/>
      <c r="N3" s="4"/>
      <c r="O3" s="4"/>
      <c r="P3" s="5"/>
      <c r="Q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</row>
    <row r="4" spans="2:57">
      <c r="B4" s="1"/>
      <c r="C4" s="1"/>
      <c r="D4" s="3"/>
      <c r="E4" s="1"/>
      <c r="F4" s="1"/>
      <c r="G4" s="1"/>
      <c r="H4" s="1"/>
      <c r="I4" s="4"/>
      <c r="J4" s="4"/>
      <c r="K4" s="4"/>
      <c r="L4" s="4"/>
      <c r="M4" s="4"/>
      <c r="N4" s="4"/>
      <c r="O4" s="4"/>
      <c r="P4" s="5"/>
      <c r="Q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</row>
    <row r="5" spans="2:57" ht="15.75">
      <c r="B5" s="7"/>
      <c r="C5" s="8"/>
      <c r="D5" s="3"/>
      <c r="E5" s="1"/>
      <c r="F5" s="1"/>
      <c r="G5" s="1"/>
      <c r="H5" s="1"/>
      <c r="I5" s="4"/>
      <c r="J5" s="4"/>
      <c r="K5" s="9"/>
      <c r="L5" s="4"/>
      <c r="M5" s="4"/>
      <c r="N5" s="4"/>
      <c r="O5" s="4"/>
      <c r="P5" s="5"/>
      <c r="Q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</row>
    <row r="6" spans="2:57" ht="18">
      <c r="B6" s="7" t="s">
        <v>3</v>
      </c>
      <c r="C6" s="10" t="s">
        <v>4</v>
      </c>
      <c r="D6" s="1"/>
      <c r="E6" s="1"/>
      <c r="F6" s="47" t="str">
        <f>RIGHT('[1]Fixtures &amp; Takers'!A1,9)&amp;" TURKISH AIRLINES EUROLEAGUE GAME BOOKING FORM"</f>
        <v>2024-2025 TURKISH AIRLINES EUROLEAGUE GAME BOOKING FORM</v>
      </c>
      <c r="G6" s="47"/>
      <c r="H6" s="11"/>
      <c r="I6" s="4"/>
      <c r="J6" s="4"/>
      <c r="K6" s="4"/>
      <c r="L6" s="4"/>
      <c r="M6" s="4"/>
      <c r="N6" s="4"/>
      <c r="O6" s="4"/>
      <c r="P6" s="5"/>
      <c r="Q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</row>
    <row r="7" spans="2:57" ht="18">
      <c r="B7" s="7" t="s">
        <v>5</v>
      </c>
      <c r="C7" s="10" t="s">
        <v>6</v>
      </c>
      <c r="D7" s="1"/>
      <c r="E7" s="1"/>
      <c r="F7" s="11"/>
      <c r="G7" s="12"/>
      <c r="H7" s="12"/>
      <c r="I7" s="13"/>
      <c r="J7" s="13"/>
      <c r="K7" s="13"/>
      <c r="L7" s="14"/>
      <c r="M7" s="14"/>
      <c r="N7" s="14"/>
      <c r="O7" s="14"/>
      <c r="P7" s="5"/>
      <c r="Q7" s="1"/>
      <c r="W7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</row>
    <row r="8" spans="2:57" ht="15" thickBot="1">
      <c r="B8" s="1"/>
      <c r="C8" s="1"/>
      <c r="D8" s="3"/>
      <c r="E8" s="1"/>
      <c r="F8" s="1"/>
      <c r="G8" s="1"/>
      <c r="H8" s="1"/>
      <c r="I8" s="15"/>
      <c r="J8" s="15"/>
      <c r="K8" s="15"/>
      <c r="L8" s="15"/>
      <c r="M8" s="15"/>
      <c r="N8" s="15"/>
      <c r="O8" s="15"/>
      <c r="P8" s="15"/>
      <c r="Q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</row>
    <row r="9" spans="2:57" ht="15.75" thickBot="1">
      <c r="B9" s="40" t="s">
        <v>7</v>
      </c>
      <c r="C9" s="48" t="s">
        <v>8</v>
      </c>
      <c r="D9" s="50" t="s">
        <v>9</v>
      </c>
      <c r="E9" s="51"/>
      <c r="F9" s="52" t="s">
        <v>10</v>
      </c>
      <c r="G9" s="54" t="s">
        <v>11</v>
      </c>
      <c r="H9" s="40" t="s">
        <v>12</v>
      </c>
      <c r="I9" s="42" t="s">
        <v>13</v>
      </c>
      <c r="J9" s="44" t="s">
        <v>14</v>
      </c>
      <c r="K9" s="44" t="s">
        <v>15</v>
      </c>
      <c r="L9" s="44" t="s">
        <v>16</v>
      </c>
      <c r="M9" s="34" t="s">
        <v>17</v>
      </c>
      <c r="N9" s="34" t="s">
        <v>18</v>
      </c>
      <c r="O9" s="36" t="s">
        <v>19</v>
      </c>
      <c r="P9" s="38" t="s">
        <v>20</v>
      </c>
      <c r="Q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</row>
    <row r="10" spans="2:57" ht="28.35" customHeight="1">
      <c r="B10" s="41"/>
      <c r="C10" s="49"/>
      <c r="D10" s="16" t="s">
        <v>21</v>
      </c>
      <c r="E10" s="17" t="s">
        <v>22</v>
      </c>
      <c r="F10" s="53"/>
      <c r="G10" s="55"/>
      <c r="H10" s="41"/>
      <c r="I10" s="43"/>
      <c r="J10" s="45"/>
      <c r="K10" s="46"/>
      <c r="L10" s="46"/>
      <c r="M10" s="35"/>
      <c r="N10" s="35"/>
      <c r="O10" s="37"/>
      <c r="P10" s="39"/>
      <c r="Q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</row>
    <row r="11" spans="2:57" ht="15">
      <c r="B11" s="18" t="str">
        <f>IF(C11="","",VLOOKUP([1]DATA!W2,'[1]DATA Engine'!$A$3:$H$800,2,FALSE))</f>
        <v>ANGT TOURNAMENT</v>
      </c>
      <c r="C11" s="19">
        <f>IFERROR(VLOOKUP([1]DATA!W2,'[1]DATA Engine'!$A$3:$H$800,3,FALSE),"")</f>
        <v>45799</v>
      </c>
      <c r="D11" s="20">
        <f>IFERROR(VLOOKUP([1]DATA!W2,'[1]DATA Engine'!$A$3:$H$800,4,FALSE),"")</f>
        <v>0.41666666666666669</v>
      </c>
      <c r="E11" s="20">
        <f>IFERROR(VLOOKUP([1]DATA!W2,'[1]DATA Engine'!$A$3:$H$800,5,FALSE),"")</f>
        <v>0.25</v>
      </c>
      <c r="F11" s="18" t="str">
        <f>IFERROR(VLOOKUP([1]DATA!W2,'[1]DATA Engine'!$A$3:$H$800,6,FALSE),"")</f>
        <v>ANGE TOURNAMENT</v>
      </c>
      <c r="G11" s="18" t="str">
        <f>IFERROR(VLOOKUP([1]DATA!W2,'[1]DATA Engine'!$A$3:$H$800,7,FALSE),"")</f>
        <v>ANGE TOURNAMENT</v>
      </c>
      <c r="H11" s="18" t="str">
        <f>IFERROR(IF(ISNUMBER(SEARCH("GOW",VLOOKUP([1]DATA!W2,'[1]DATA Engine'!$A$3:$H$800,8,FALSE))),"GOW",""),"")</f>
        <v/>
      </c>
      <c r="I11" s="21"/>
      <c r="J11" s="21"/>
      <c r="K11" s="22"/>
      <c r="L11" s="22"/>
      <c r="M11" s="22"/>
      <c r="N11" s="22"/>
      <c r="O11" s="22"/>
      <c r="P11" s="23"/>
      <c r="Q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</row>
    <row r="12" spans="2:57" ht="15">
      <c r="B12" s="18" t="str">
        <f>IF(C12="","",VLOOKUP([1]DATA!W3,'[1]DATA Engine'!$A$3:$H$800,2,FALSE))</f>
        <v>ANGT TOURNAMENT</v>
      </c>
      <c r="C12" s="19">
        <f>IFERROR(VLOOKUP([1]DATA!W3,'[1]DATA Engine'!$A$3:$H$800,3,FALSE),"")</f>
        <v>45800</v>
      </c>
      <c r="D12" s="20">
        <f>IFERROR(VLOOKUP([1]DATA!W3,'[1]DATA Engine'!$A$3:$H$800,4,FALSE),"")</f>
        <v>0.41666666666666669</v>
      </c>
      <c r="E12" s="20">
        <f>IFERROR(VLOOKUP([1]DATA!W3,'[1]DATA Engine'!$A$3:$H$800,5,FALSE),"")</f>
        <v>0.25</v>
      </c>
      <c r="F12" s="18" t="str">
        <f>IFERROR(VLOOKUP([1]DATA!W3,'[1]DATA Engine'!$A$3:$H$800,6,FALSE),"")</f>
        <v>ANGE TOURNAMENT</v>
      </c>
      <c r="G12" s="18" t="str">
        <f>IFERROR(VLOOKUP([1]DATA!W3,'[1]DATA Engine'!$A$3:$H$800,7,FALSE),"")</f>
        <v>ANGE TOURNAMENT</v>
      </c>
      <c r="H12" s="18" t="str">
        <f>IFERROR(IF(ISNUMBER(SEARCH("GOW",VLOOKUP([1]DATA!W3,'[1]DATA Engine'!$A$3:$H$800,8,FALSE))),"GOW",""),"")</f>
        <v/>
      </c>
      <c r="I12" s="21"/>
      <c r="J12" s="21"/>
      <c r="K12" s="21"/>
      <c r="L12" s="21"/>
      <c r="M12" s="21"/>
      <c r="N12" s="21"/>
      <c r="O12" s="22"/>
      <c r="P12" s="23"/>
      <c r="Q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</row>
    <row r="13" spans="2:57" ht="15">
      <c r="B13" s="18" t="str">
        <f>IF(C13="","",VLOOKUP([1]DATA!W4,'[1]DATA Engine'!$A$3:$H$800,2,FALSE))</f>
        <v>ANGT TOURNAMENT</v>
      </c>
      <c r="C13" s="19">
        <f>IFERROR(VLOOKUP([1]DATA!W4,'[1]DATA Engine'!$A$3:$H$800,3,FALSE),"")</f>
        <v>45801</v>
      </c>
      <c r="D13" s="20">
        <f>IFERROR(VLOOKUP([1]DATA!W4,'[1]DATA Engine'!$A$3:$H$800,4,FALSE),"")</f>
        <v>0.41666666666666669</v>
      </c>
      <c r="E13" s="20">
        <f>IFERROR(VLOOKUP([1]DATA!W4,'[1]DATA Engine'!$A$3:$H$800,5,FALSE),"")</f>
        <v>0.25</v>
      </c>
      <c r="F13" s="18" t="str">
        <f>IFERROR(VLOOKUP([1]DATA!W4,'[1]DATA Engine'!$A$3:$H$800,6,FALSE),"")</f>
        <v>ANGE TOURNAMENT</v>
      </c>
      <c r="G13" s="18" t="str">
        <f>IFERROR(VLOOKUP([1]DATA!W4,'[1]DATA Engine'!$A$3:$H$800,7,FALSE),"")</f>
        <v>ANGE TOURNAMENT</v>
      </c>
      <c r="H13" s="18" t="str">
        <f>IFERROR(IF(ISNUMBER(SEARCH("GOW",VLOOKUP([1]DATA!W4,'[1]DATA Engine'!$A$3:$H$800,8,FALSE))),"GOW",""),"")</f>
        <v/>
      </c>
      <c r="I13" s="21"/>
      <c r="J13" s="21"/>
      <c r="K13" s="21"/>
      <c r="L13" s="21"/>
      <c r="M13" s="21"/>
      <c r="N13" s="21"/>
      <c r="O13" s="22"/>
      <c r="P13" s="23"/>
      <c r="Q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</row>
    <row r="14" spans="2:57" ht="15">
      <c r="B14" s="18" t="str">
        <f>IF(C14="","",VLOOKUP([1]DATA!W5,'[1]DATA Engine'!$A$3:$H$800,2,FALSE))</f>
        <v>ANGT TOURNAMENT</v>
      </c>
      <c r="C14" s="19">
        <f>IFERROR(VLOOKUP([1]DATA!W5,'[1]DATA Engine'!$A$3:$H$800,3,FALSE),"")</f>
        <v>45802</v>
      </c>
      <c r="D14" s="20">
        <f>IFERROR(VLOOKUP([1]DATA!W5,'[1]DATA Engine'!$A$3:$H$800,4,FALSE),"")</f>
        <v>0.5625</v>
      </c>
      <c r="E14" s="20">
        <f>IFERROR(VLOOKUP([1]DATA!W5,'[1]DATA Engine'!$A$3:$H$800,5,FALSE),"")</f>
        <v>0.39583333333333331</v>
      </c>
      <c r="F14" s="18" t="str">
        <f>IFERROR(VLOOKUP([1]DATA!W5,'[1]DATA Engine'!$A$3:$H$800,6,FALSE),"")</f>
        <v>ANGE TOURNAMENT FINAL</v>
      </c>
      <c r="G14" s="18" t="str">
        <f>IFERROR(VLOOKUP([1]DATA!W5,'[1]DATA Engine'!$A$3:$H$800,7,FALSE),"")</f>
        <v>ANGE TOURNAMENT FINAL</v>
      </c>
      <c r="H14" s="18" t="str">
        <f>IFERROR(IF(ISNUMBER(SEARCH("GOW",VLOOKUP([1]DATA!W5,'[1]DATA Engine'!$A$3:$H$800,8,FALSE))),"GOW",""),"")</f>
        <v/>
      </c>
      <c r="I14" s="21"/>
      <c r="J14" s="21"/>
      <c r="K14" s="21"/>
      <c r="L14" s="21"/>
      <c r="M14" s="21"/>
      <c r="N14" s="21"/>
      <c r="O14" s="22"/>
      <c r="P14" s="23"/>
      <c r="Q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</row>
    <row r="15" spans="2:57" ht="15">
      <c r="B15" s="18" t="str">
        <f>IF(C15="","",VLOOKUP([1]DATA!W6,'[1]DATA Engine'!$A$3:$H$800,2,FALSE))</f>
        <v>-</v>
      </c>
      <c r="C15" s="19" t="str">
        <f>IFERROR(VLOOKUP([1]DATA!W6,'[1]DATA Engine'!$A$3:$H$800,3,FALSE),"")</f>
        <v>-</v>
      </c>
      <c r="D15" s="20" t="str">
        <f>IFERROR(VLOOKUP([1]DATA!W6,'[1]DATA Engine'!$A$3:$H$800,4,FALSE),"")</f>
        <v>-</v>
      </c>
      <c r="E15" s="20" t="str">
        <f>IFERROR(VLOOKUP([1]DATA!W6,'[1]DATA Engine'!$A$3:$H$800,5,FALSE),"")</f>
        <v>-</v>
      </c>
      <c r="F15" s="18" t="str">
        <f>IFERROR(VLOOKUP([1]DATA!W6,'[1]DATA Engine'!$A$3:$H$800,6,FALSE),"")</f>
        <v>-</v>
      </c>
      <c r="G15" s="18" t="str">
        <f>IFERROR(VLOOKUP([1]DATA!W6,'[1]DATA Engine'!$A$3:$H$800,7,FALSE),"")</f>
        <v>-</v>
      </c>
      <c r="H15" s="18" t="str">
        <f>IFERROR(IF(ISNUMBER(SEARCH("GOW",VLOOKUP([1]DATA!W6,'[1]DATA Engine'!$A$3:$H$800,8,FALSE))),"GOW",""),"")</f>
        <v/>
      </c>
      <c r="I15" s="21"/>
      <c r="J15" s="21"/>
      <c r="K15" s="21"/>
      <c r="L15" s="22"/>
      <c r="M15" s="22"/>
      <c r="N15" s="22"/>
      <c r="O15" s="22"/>
      <c r="P15" s="23"/>
      <c r="Q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</row>
    <row r="16" spans="2:57" ht="15">
      <c r="B16" s="18" t="str">
        <f>IF(C16="","",VLOOKUP([1]DATA!W7,'[1]DATA Engine'!$A$3:$H$800,2,FALSE))</f>
        <v>FINAL FOUR 1</v>
      </c>
      <c r="C16" s="19">
        <f>IFERROR(VLOOKUP([1]DATA!W7,'[1]DATA Engine'!$A$3:$H$800,3,FALSE),"")</f>
        <v>45799</v>
      </c>
      <c r="D16" s="20">
        <f>IFERROR(VLOOKUP([1]DATA!W7,'[1]DATA Engine'!$A$3:$H$800,4,FALSE),"")</f>
        <v>0.47916666666666669</v>
      </c>
      <c r="E16" s="20">
        <f>IFERROR(VLOOKUP([1]DATA!W7,'[1]DATA Engine'!$A$3:$H$800,5,FALSE),"")</f>
        <v>0.3125</v>
      </c>
      <c r="F16" s="18" t="str">
        <f>IFERROR(VLOOKUP([1]DATA!W7,'[1]DATA Engine'!$A$3:$H$800,6,FALSE),"")</f>
        <v>TIP OFF EVENT</v>
      </c>
      <c r="G16" s="18" t="str">
        <f>IFERROR(VLOOKUP([1]DATA!W7,'[1]DATA Engine'!$A$3:$H$800,7,FALSE),"")</f>
        <v>OPENING PRESS CONFERENCE</v>
      </c>
      <c r="H16" s="18" t="str">
        <f>IFERROR(IF(ISNUMBER(SEARCH("GOW",VLOOKUP([1]DATA!W7,'[1]DATA Engine'!$A$3:$H$800,8,FALSE))),"GOW",""),"")</f>
        <v/>
      </c>
      <c r="I16" s="21"/>
      <c r="J16" s="21"/>
      <c r="K16" s="22"/>
      <c r="L16" s="21"/>
      <c r="M16" s="21"/>
      <c r="N16" s="21"/>
      <c r="O16" s="22"/>
      <c r="P16" s="23"/>
      <c r="Q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</row>
    <row r="17" spans="2:57" ht="15">
      <c r="B17" s="18" t="str">
        <f>IF(C17="","",VLOOKUP([1]DATA!W8,'[1]DATA Engine'!$A$3:$H$800,2,FALSE))</f>
        <v>-</v>
      </c>
      <c r="C17" s="19" t="str">
        <f>IFERROR(VLOOKUP([1]DATA!W8,'[1]DATA Engine'!$A$3:$H$800,3,FALSE),"")</f>
        <v>-</v>
      </c>
      <c r="D17" s="20" t="str">
        <f>IFERROR(VLOOKUP([1]DATA!W8,'[1]DATA Engine'!$A$3:$H$800,4,FALSE),"")</f>
        <v>-</v>
      </c>
      <c r="E17" s="20" t="str">
        <f>IFERROR(VLOOKUP([1]DATA!W8,'[1]DATA Engine'!$A$3:$H$800,5,FALSE),"")</f>
        <v>-</v>
      </c>
      <c r="F17" s="18" t="str">
        <f>IFERROR(VLOOKUP([1]DATA!W8,'[1]DATA Engine'!$A$3:$H$800,6,FALSE),"")</f>
        <v>-</v>
      </c>
      <c r="G17" s="18" t="str">
        <f>IFERROR(VLOOKUP([1]DATA!W8,'[1]DATA Engine'!$A$3:$H$800,7,FALSE),"")</f>
        <v>-</v>
      </c>
      <c r="H17" s="18" t="str">
        <f>IFERROR(IF(ISNUMBER(SEARCH("GOW",VLOOKUP([1]DATA!W8,'[1]DATA Engine'!$A$3:$H$800,8,FALSE))),"GOW",""),"")</f>
        <v/>
      </c>
      <c r="I17" s="21"/>
      <c r="J17" s="21"/>
      <c r="K17" s="22"/>
      <c r="L17" s="21"/>
      <c r="M17" s="21"/>
      <c r="N17" s="21"/>
      <c r="O17" s="22"/>
      <c r="P17" s="23"/>
      <c r="Q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</row>
    <row r="18" spans="2:57" ht="15">
      <c r="B18" s="18" t="str">
        <f>IF(C18="","",VLOOKUP([1]DATA!W9,'[1]DATA Engine'!$A$3:$H$800,2,FALSE))</f>
        <v>FINAL FOUR 2</v>
      </c>
      <c r="C18" s="19">
        <f>IFERROR(VLOOKUP([1]DATA!W9,'[1]DATA Engine'!$A$3:$H$800,3,FALSE),"")</f>
        <v>45800</v>
      </c>
      <c r="D18" s="20">
        <f>IFERROR(VLOOKUP([1]DATA!W9,'[1]DATA Engine'!$A$3:$H$800,4,FALSE),"")</f>
        <v>0.79166666666666663</v>
      </c>
      <c r="E18" s="20">
        <f>IFERROR(VLOOKUP([1]DATA!W9,'[1]DATA Engine'!$A$3:$H$800,5,FALSE),"")</f>
        <v>0.625</v>
      </c>
      <c r="F18" s="18" t="str">
        <f>IFERROR(VLOOKUP([1]DATA!W9,'[1]DATA Engine'!$A$3:$H$800,6,FALSE),"")</f>
        <v>FENERBAHCE BEKO ISTANBUL</v>
      </c>
      <c r="G18" s="18" t="str">
        <f>IFERROR(VLOOKUP([1]DATA!W9,'[1]DATA Engine'!$A$3:$H$800,7,FALSE),"")</f>
        <v>PANATHINAIKOS AKTOR ATHENS</v>
      </c>
      <c r="H18" s="18" t="str">
        <f>IFERROR(IF(ISNUMBER(SEARCH("GOW",VLOOKUP([1]DATA!W9,'[1]DATA Engine'!$A$3:$H$800,8,FALSE))),"GOW",""),"")</f>
        <v/>
      </c>
      <c r="I18" s="21"/>
      <c r="J18" s="22"/>
      <c r="K18" s="22"/>
      <c r="L18" s="21"/>
      <c r="M18" s="21"/>
      <c r="N18" s="21"/>
      <c r="O18" s="22"/>
      <c r="P18" s="23"/>
      <c r="Q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</row>
    <row r="19" spans="2:57" ht="15">
      <c r="B19" s="18" t="str">
        <f>IF(C19="","",VLOOKUP([1]DATA!W10,'[1]DATA Engine'!$A$3:$H$800,2,FALSE))</f>
        <v>FINAL FOUR 2</v>
      </c>
      <c r="C19" s="19">
        <f>IFERROR(VLOOKUP([1]DATA!W10,'[1]DATA Engine'!$A$3:$H$800,3,FALSE),"")</f>
        <v>45800</v>
      </c>
      <c r="D19" s="20">
        <f>IFERROR(VLOOKUP([1]DATA!W10,'[1]DATA Engine'!$A$3:$H$800,4,FALSE),"")</f>
        <v>0.91666666666666663</v>
      </c>
      <c r="E19" s="20">
        <f>IFERROR(VLOOKUP([1]DATA!W10,'[1]DATA Engine'!$A$3:$H$800,5,FALSE),"")</f>
        <v>0.75</v>
      </c>
      <c r="F19" s="18" t="str">
        <f>IFERROR(VLOOKUP([1]DATA!W10,'[1]DATA Engine'!$A$3:$H$800,6,FALSE),"")</f>
        <v>OLYMPIACOS PIRAEUS</v>
      </c>
      <c r="G19" s="18" t="str">
        <f>IFERROR(VLOOKUP([1]DATA!W10,'[1]DATA Engine'!$A$3:$H$800,7,FALSE),"")</f>
        <v>AS MONACO</v>
      </c>
      <c r="H19" s="18" t="str">
        <f>IFERROR(IF(ISNUMBER(SEARCH("GOW",VLOOKUP([1]DATA!W10,'[1]DATA Engine'!$A$3:$H$800,8,FALSE))),"GOW",""),"")</f>
        <v/>
      </c>
      <c r="I19" s="21"/>
      <c r="J19" s="21"/>
      <c r="K19" s="21"/>
      <c r="L19" s="22"/>
      <c r="M19" s="22"/>
      <c r="N19" s="24"/>
      <c r="O19" s="22"/>
      <c r="P19" s="25"/>
      <c r="Q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</row>
    <row r="20" spans="2:57" ht="15">
      <c r="B20" s="18" t="str">
        <f>IF(C20="","",VLOOKUP([1]DATA!W11,'[1]DATA Engine'!$A$3:$H$800,2,FALSE))</f>
        <v>-</v>
      </c>
      <c r="C20" s="19" t="str">
        <f>IFERROR(VLOOKUP([1]DATA!W11,'[1]DATA Engine'!$A$3:$H$800,3,FALSE),"")</f>
        <v>-</v>
      </c>
      <c r="D20" s="20" t="str">
        <f>IFERROR(VLOOKUP([1]DATA!W11,'[1]DATA Engine'!$A$3:$H$800,4,FALSE),"")</f>
        <v>-</v>
      </c>
      <c r="E20" s="20" t="str">
        <f>IFERROR(VLOOKUP([1]DATA!W11,'[1]DATA Engine'!$A$3:$H$800,5,FALSE),"")</f>
        <v>-</v>
      </c>
      <c r="F20" s="18" t="str">
        <f>IFERROR(VLOOKUP([1]DATA!W11,'[1]DATA Engine'!$A$3:$H$800,6,FALSE),"")</f>
        <v>-</v>
      </c>
      <c r="G20" s="18" t="str">
        <f>IFERROR(VLOOKUP([1]DATA!W11,'[1]DATA Engine'!$A$3:$H$800,7,FALSE),"")</f>
        <v>-</v>
      </c>
      <c r="H20" s="18" t="str">
        <f>IFERROR(IF(ISNUMBER(SEARCH("GOW",VLOOKUP([1]DATA!W11,'[1]DATA Engine'!$A$3:$H$800,8,FALSE))),"GOW",""),"")</f>
        <v/>
      </c>
      <c r="I20" s="21"/>
      <c r="J20" s="22"/>
      <c r="K20" s="22"/>
      <c r="L20" s="22"/>
      <c r="M20" s="22"/>
      <c r="N20" s="22"/>
      <c r="O20" s="22"/>
      <c r="P20" s="23"/>
      <c r="Q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</row>
    <row r="21" spans="2:57" ht="15">
      <c r="B21" s="18" t="str">
        <f>IF(C21="","",VLOOKUP([1]DATA!W12,'[1]DATA Engine'!$A$3:$H$800,2,FALSE))</f>
        <v>FINAL FOUR 3</v>
      </c>
      <c r="C21" s="19">
        <f>IFERROR(VLOOKUP([1]DATA!W12,'[1]DATA Engine'!$A$3:$H$800,3,FALSE),"")</f>
        <v>45801</v>
      </c>
      <c r="D21" s="20">
        <f>IFERROR(VLOOKUP([1]DATA!W12,'[1]DATA Engine'!$A$3:$H$800,4,FALSE),"")</f>
        <v>0.54166666666666663</v>
      </c>
      <c r="E21" s="20">
        <f>IFERROR(VLOOKUP([1]DATA!W12,'[1]DATA Engine'!$A$3:$H$800,5,FALSE),"")</f>
        <v>0.375</v>
      </c>
      <c r="F21" s="18" t="str">
        <f>IFERROR(VLOOKUP([1]DATA!W12,'[1]DATA Engine'!$A$3:$H$800,6,FALSE),"")</f>
        <v>CHAMPIONSHIP GAME</v>
      </c>
      <c r="G21" s="18" t="str">
        <f>IFERROR(VLOOKUP([1]DATA!W12,'[1]DATA Engine'!$A$3:$H$800,7,FALSE),"")</f>
        <v>PRESS CONFERENCE</v>
      </c>
      <c r="H21" s="18" t="str">
        <f>IFERROR(IF(ISNUMBER(SEARCH("GOW",VLOOKUP([1]DATA!W12,'[1]DATA Engine'!$A$3:$H$800,8,FALSE))),"GOW",""),"")</f>
        <v/>
      </c>
      <c r="I21" s="21"/>
      <c r="J21" s="22"/>
      <c r="K21" s="22"/>
      <c r="L21" s="22"/>
      <c r="M21" s="22"/>
      <c r="N21" s="24"/>
      <c r="O21" s="22"/>
      <c r="P21" s="23"/>
      <c r="Q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</row>
    <row r="22" spans="2:57" ht="15">
      <c r="B22" s="18" t="str">
        <f>IF(C22="","",VLOOKUP([1]DATA!W13,'[1]DATA Engine'!$A$3:$H$800,2,FALSE))</f>
        <v>-</v>
      </c>
      <c r="C22" s="19" t="str">
        <f>IFERROR(VLOOKUP([1]DATA!W13,'[1]DATA Engine'!$A$3:$H$800,3,FALSE),"")</f>
        <v>-</v>
      </c>
      <c r="D22" s="20" t="str">
        <f>IFERROR(VLOOKUP([1]DATA!W13,'[1]DATA Engine'!$A$3:$H$800,4,FALSE),"")</f>
        <v>-</v>
      </c>
      <c r="E22" s="20" t="str">
        <f>IFERROR(VLOOKUP([1]DATA!W13,'[1]DATA Engine'!$A$3:$H$800,5,FALSE),"")</f>
        <v>-</v>
      </c>
      <c r="F22" s="18" t="str">
        <f>IFERROR(VLOOKUP([1]DATA!W13,'[1]DATA Engine'!$A$3:$H$800,6,FALSE),"")</f>
        <v>-</v>
      </c>
      <c r="G22" s="18" t="str">
        <f>IFERROR(VLOOKUP([1]DATA!W13,'[1]DATA Engine'!$A$3:$H$800,7,FALSE),"")</f>
        <v>-</v>
      </c>
      <c r="H22" s="18" t="str">
        <f>IFERROR(IF(ISNUMBER(SEARCH("GOW",VLOOKUP([1]DATA!W13,'[1]DATA Engine'!$A$3:$H$800,8,FALSE))),"GOW",""),"")</f>
        <v/>
      </c>
      <c r="I22" s="21"/>
      <c r="J22" s="22"/>
      <c r="K22" s="22"/>
      <c r="L22" s="22"/>
      <c r="M22" s="22"/>
      <c r="N22" s="24"/>
      <c r="O22" s="22"/>
      <c r="P22" s="23"/>
      <c r="Q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</row>
    <row r="23" spans="2:57" ht="15">
      <c r="B23" s="18" t="str">
        <f>IF(C23="","",VLOOKUP([1]DATA!W14,'[1]DATA Engine'!$A$3:$H$800,2,FALSE))</f>
        <v>FINAL FOUR 4</v>
      </c>
      <c r="C23" s="19">
        <f>IFERROR(VLOOKUP([1]DATA!W14,'[1]DATA Engine'!$A$3:$H$800,3,FALSE),"")</f>
        <v>45802</v>
      </c>
      <c r="D23" s="20">
        <f>IFERROR(VLOOKUP([1]DATA!W14,'[1]DATA Engine'!$A$3:$H$800,4,FALSE),"")</f>
        <v>0.75</v>
      </c>
      <c r="E23" s="20">
        <f>IFERROR(VLOOKUP([1]DATA!W14,'[1]DATA Engine'!$A$3:$H$800,5,FALSE),"")</f>
        <v>0.58333333333333337</v>
      </c>
      <c r="F23" s="18" t="str">
        <f>IFERROR(VLOOKUP([1]DATA!W14,'[1]DATA Engine'!$A$3:$H$800,6,FALSE),"")</f>
        <v>THIRD PLACE GAME</v>
      </c>
      <c r="G23" s="18" t="str">
        <f>IFERROR(VLOOKUP([1]DATA!W14,'[1]DATA Engine'!$A$3:$H$800,7,FALSE),"")</f>
        <v>THIRD PLACE GAME</v>
      </c>
      <c r="H23" s="18" t="str">
        <f>IFERROR(IF(ISNUMBER(SEARCH("GOW",VLOOKUP([1]DATA!W14,'[1]DATA Engine'!$A$3:$H$800,8,FALSE))),"GOW",""),"")</f>
        <v/>
      </c>
      <c r="I23" s="21"/>
      <c r="J23" s="21"/>
      <c r="K23" s="22"/>
      <c r="L23" s="22"/>
      <c r="M23" s="22"/>
      <c r="N23" s="24"/>
      <c r="O23" s="22"/>
      <c r="P23" s="23"/>
      <c r="Q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</row>
    <row r="24" spans="2:57" ht="15">
      <c r="B24" s="18" t="str">
        <f>IF(C24="","",VLOOKUP([1]DATA!W15,'[1]DATA Engine'!$A$3:$H$800,2,FALSE))</f>
        <v>FINAL FOUR 4</v>
      </c>
      <c r="C24" s="19">
        <f>IFERROR(VLOOKUP([1]DATA!W15,'[1]DATA Engine'!$A$3:$H$800,3,FALSE),"")</f>
        <v>45802</v>
      </c>
      <c r="D24" s="20">
        <f>IFERROR(VLOOKUP([1]DATA!W15,'[1]DATA Engine'!$A$3:$H$800,4,FALSE),"")</f>
        <v>0.875</v>
      </c>
      <c r="E24" s="20">
        <f>IFERROR(VLOOKUP([1]DATA!W15,'[1]DATA Engine'!$A$3:$H$800,5,FALSE),"")</f>
        <v>0.70833333333333337</v>
      </c>
      <c r="F24" s="18" t="str">
        <f>IFERROR(VLOOKUP([1]DATA!W15,'[1]DATA Engine'!$A$3:$H$800,6,FALSE),"")</f>
        <v>FINAL</v>
      </c>
      <c r="G24" s="18" t="str">
        <f>IFERROR(VLOOKUP([1]DATA!W15,'[1]DATA Engine'!$A$3:$H$800,7,FALSE),"")</f>
        <v>FINAL</v>
      </c>
      <c r="H24" s="18" t="str">
        <f>IFERROR(IF(ISNUMBER(SEARCH("GOW",VLOOKUP([1]DATA!W15,'[1]DATA Engine'!$A$3:$H$800,8,FALSE))),"GOW",""),"")</f>
        <v/>
      </c>
      <c r="I24" s="21"/>
      <c r="J24" s="22"/>
      <c r="K24" s="22"/>
      <c r="L24" s="22"/>
      <c r="M24" s="22"/>
      <c r="N24" s="24"/>
      <c r="O24" s="22"/>
      <c r="P24" s="23"/>
      <c r="Q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</row>
    <row r="25" spans="2:57" ht="15">
      <c r="B25" s="18" t="str">
        <f>IF(C25="","",VLOOKUP([1]DATA!W16,'[1]DATA Engine'!$A$3:$H$800,2,FALSE))</f>
        <v/>
      </c>
      <c r="C25" s="19" t="str">
        <f>IFERROR(VLOOKUP([1]DATA!W16,'[1]DATA Engine'!$A$3:$H$800,3,FALSE),"")</f>
        <v/>
      </c>
      <c r="D25" s="20" t="str">
        <f>IFERROR(VLOOKUP([1]DATA!W16,'[1]DATA Engine'!$A$3:$H$800,4,FALSE),"")</f>
        <v/>
      </c>
      <c r="E25" s="20" t="str">
        <f>IFERROR(VLOOKUP([1]DATA!W16,'[1]DATA Engine'!$A$3:$H$800,5,FALSE),"")</f>
        <v/>
      </c>
      <c r="F25" s="18" t="str">
        <f>IFERROR(VLOOKUP([1]DATA!W16,'[1]DATA Engine'!$A$3:$H$800,6,FALSE),"")</f>
        <v/>
      </c>
      <c r="G25" s="18" t="str">
        <f>IFERROR(VLOOKUP([1]DATA!W16,'[1]DATA Engine'!$A$3:$H$800,7,FALSE),"")</f>
        <v/>
      </c>
      <c r="H25" s="18" t="str">
        <f>IFERROR(IF(ISNUMBER(SEARCH("GOW",VLOOKUP([1]DATA!W16,'[1]DATA Engine'!$A$3:$H$800,8,FALSE))),"GOW",""),"")</f>
        <v/>
      </c>
      <c r="I25" s="26"/>
      <c r="J25" s="24"/>
      <c r="K25" s="24"/>
      <c r="L25" s="24"/>
      <c r="M25" s="24"/>
      <c r="N25" s="24"/>
      <c r="O25" s="22"/>
      <c r="P25" s="23"/>
      <c r="Q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</row>
    <row r="26" spans="2:57" ht="15">
      <c r="B26" s="18" t="str">
        <f>IF(C26="","",VLOOKUP([1]DATA!W17,'[1]DATA Engine'!$A$3:$H$800,2,FALSE))</f>
        <v/>
      </c>
      <c r="C26" s="19" t="str">
        <f>IFERROR(VLOOKUP([1]DATA!W17,'[1]DATA Engine'!$A$3:$H$800,3,FALSE),"")</f>
        <v/>
      </c>
      <c r="D26" s="20" t="str">
        <f>IFERROR(VLOOKUP([1]DATA!W17,'[1]DATA Engine'!$A$3:$H$800,4,FALSE),"")</f>
        <v/>
      </c>
      <c r="E26" s="20" t="str">
        <f>IFERROR(VLOOKUP([1]DATA!W17,'[1]DATA Engine'!$A$3:$H$800,5,FALSE),"")</f>
        <v/>
      </c>
      <c r="F26" s="18" t="str">
        <f>IFERROR(VLOOKUP([1]DATA!W17,'[1]DATA Engine'!$A$3:$H$800,6,FALSE),"")</f>
        <v/>
      </c>
      <c r="G26" s="18" t="str">
        <f>IFERROR(VLOOKUP([1]DATA!W17,'[1]DATA Engine'!$A$3:$H$800,7,FALSE),"")</f>
        <v/>
      </c>
      <c r="H26" s="18" t="str">
        <f>IFERROR(IF(ISNUMBER(SEARCH("GOW",VLOOKUP([1]DATA!W17,'[1]DATA Engine'!$A$3:$H$800,8,FALSE))),"GOW",""),"")</f>
        <v/>
      </c>
      <c r="I26" s="26"/>
      <c r="J26" s="24"/>
      <c r="K26" s="24"/>
      <c r="L26" s="24"/>
      <c r="M26" s="24"/>
      <c r="N26" s="24"/>
      <c r="O26" s="22"/>
      <c r="P26" s="23"/>
      <c r="Q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</row>
    <row r="27" spans="2:57" ht="15">
      <c r="B27" s="18" t="str">
        <f>IF(C27="","",VLOOKUP([1]DATA!W18,'[1]DATA Engine'!$A$3:$H$800,2,FALSE))</f>
        <v/>
      </c>
      <c r="C27" s="19" t="str">
        <f>IFERROR(VLOOKUP([1]DATA!W18,'[1]DATA Engine'!$A$3:$H$800,3,FALSE),"")</f>
        <v/>
      </c>
      <c r="D27" s="20" t="str">
        <f>IFERROR(VLOOKUP([1]DATA!W18,'[1]DATA Engine'!$A$3:$H$800,4,FALSE),"")</f>
        <v/>
      </c>
      <c r="E27" s="20" t="str">
        <f>IFERROR(VLOOKUP([1]DATA!W18,'[1]DATA Engine'!$A$3:$H$800,5,FALSE),"")</f>
        <v/>
      </c>
      <c r="F27" s="18" t="str">
        <f>IFERROR(VLOOKUP([1]DATA!W18,'[1]DATA Engine'!$A$3:$H$800,6,FALSE),"")</f>
        <v/>
      </c>
      <c r="G27" s="18" t="str">
        <f>IFERROR(VLOOKUP([1]DATA!W18,'[1]DATA Engine'!$A$3:$H$800,7,FALSE),"")</f>
        <v/>
      </c>
      <c r="H27" s="18" t="str">
        <f>IFERROR(IF(ISNUMBER(SEARCH("GOW",VLOOKUP([1]DATA!W18,'[1]DATA Engine'!$A$3:$H$800,8,FALSE))),"GOW",""),"")</f>
        <v/>
      </c>
      <c r="I27" s="26"/>
      <c r="J27" s="24"/>
      <c r="K27" s="24"/>
      <c r="L27" s="24"/>
      <c r="M27" s="24"/>
      <c r="N27" s="24"/>
      <c r="O27" s="22"/>
      <c r="P27" s="23"/>
      <c r="Q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</row>
    <row r="28" spans="2:57" ht="15">
      <c r="B28" s="18" t="str">
        <f>IF(C28="","",VLOOKUP([1]DATA!W19,'[1]DATA Engine'!$A$3:$H$800,2,FALSE))</f>
        <v/>
      </c>
      <c r="C28" s="19" t="str">
        <f>IFERROR(VLOOKUP([1]DATA!W19,'[1]DATA Engine'!$A$3:$H$800,3,FALSE),"")</f>
        <v/>
      </c>
      <c r="D28" s="20" t="str">
        <f>IFERROR(VLOOKUP([1]DATA!W19,'[1]DATA Engine'!$A$3:$H$800,4,FALSE),"")</f>
        <v/>
      </c>
      <c r="E28" s="20" t="str">
        <f>IFERROR(VLOOKUP([1]DATA!W19,'[1]DATA Engine'!$A$3:$H$800,5,FALSE),"")</f>
        <v/>
      </c>
      <c r="F28" s="18" t="str">
        <f>IFERROR(VLOOKUP([1]DATA!W19,'[1]DATA Engine'!$A$3:$H$800,6,FALSE),"")</f>
        <v/>
      </c>
      <c r="G28" s="18" t="str">
        <f>IFERROR(VLOOKUP([1]DATA!W19,'[1]DATA Engine'!$A$3:$H$800,7,FALSE),"")</f>
        <v/>
      </c>
      <c r="H28" s="18" t="str">
        <f>IFERROR(IF(ISNUMBER(SEARCH("GOW",VLOOKUP([1]DATA!W19,'[1]DATA Engine'!$A$3:$H$800,8,FALSE))),"GOW",""),"")</f>
        <v/>
      </c>
      <c r="I28" s="26"/>
      <c r="J28" s="24"/>
      <c r="K28" s="24"/>
      <c r="L28" s="24"/>
      <c r="M28" s="24"/>
      <c r="N28" s="24"/>
      <c r="O28" s="22"/>
      <c r="P28" s="25"/>
      <c r="Q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</row>
    <row r="29" spans="2:57" ht="15">
      <c r="B29" s="18" t="str">
        <f>IF(C29="","",VLOOKUP([1]DATA!W20,'[1]DATA Engine'!$A$3:$H$800,2,FALSE))</f>
        <v/>
      </c>
      <c r="C29" s="19" t="str">
        <f>IFERROR(VLOOKUP([1]DATA!W20,'[1]DATA Engine'!$A$3:$H$800,3,FALSE),"")</f>
        <v/>
      </c>
      <c r="D29" s="20" t="str">
        <f>IFERROR(VLOOKUP([1]DATA!W20,'[1]DATA Engine'!$A$3:$H$800,4,FALSE),"")</f>
        <v/>
      </c>
      <c r="E29" s="20" t="str">
        <f>IFERROR(VLOOKUP([1]DATA!W20,'[1]DATA Engine'!$A$3:$H$800,5,FALSE),"")</f>
        <v/>
      </c>
      <c r="F29" s="18" t="str">
        <f>IFERROR(VLOOKUP([1]DATA!W20,'[1]DATA Engine'!$A$3:$H$800,6,FALSE),"")</f>
        <v/>
      </c>
      <c r="G29" s="18" t="str">
        <f>IFERROR(VLOOKUP([1]DATA!W20,'[1]DATA Engine'!$A$3:$H$800,7,FALSE),"")</f>
        <v/>
      </c>
      <c r="H29" s="18" t="str">
        <f>IFERROR(IF(ISNUMBER(SEARCH("GOW",VLOOKUP([1]DATA!W20,'[1]DATA Engine'!$A$3:$H$800,8,FALSE))),"GOW",""),"")</f>
        <v/>
      </c>
      <c r="I29" s="26"/>
      <c r="J29" s="24"/>
      <c r="K29" s="24"/>
      <c r="L29" s="24"/>
      <c r="M29" s="24"/>
      <c r="N29" s="22"/>
      <c r="O29" s="22"/>
      <c r="P29" s="23"/>
      <c r="Q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</row>
    <row r="30" spans="2:57" ht="15">
      <c r="B30" s="18" t="str">
        <f>IF(C30="","",VLOOKUP([1]DATA!W21,'[1]DATA Engine'!$A$3:$H$800,2,FALSE))</f>
        <v/>
      </c>
      <c r="C30" s="19" t="str">
        <f>IFERROR(VLOOKUP([1]DATA!W21,'[1]DATA Engine'!$A$3:$H$800,3,FALSE),"")</f>
        <v/>
      </c>
      <c r="D30" s="20" t="str">
        <f>IFERROR(VLOOKUP([1]DATA!W21,'[1]DATA Engine'!$A$3:$H$800,4,FALSE),"")</f>
        <v/>
      </c>
      <c r="E30" s="20" t="str">
        <f>IFERROR(VLOOKUP([1]DATA!W21,'[1]DATA Engine'!$A$3:$H$800,5,FALSE),"")</f>
        <v/>
      </c>
      <c r="F30" s="18" t="str">
        <f>IFERROR(VLOOKUP([1]DATA!W21,'[1]DATA Engine'!$A$3:$H$800,6,FALSE),"")</f>
        <v/>
      </c>
      <c r="G30" s="18" t="str">
        <f>IFERROR(VLOOKUP([1]DATA!W21,'[1]DATA Engine'!$A$3:$H$800,7,FALSE),"")</f>
        <v/>
      </c>
      <c r="H30" s="18" t="str">
        <f>IFERROR(IF(ISNUMBER(SEARCH("GOW",VLOOKUP([1]DATA!W21,'[1]DATA Engine'!$A$3:$H$800,8,FALSE))),"GOW",""),"")</f>
        <v/>
      </c>
      <c r="I30" s="26"/>
      <c r="J30" s="24"/>
      <c r="K30" s="24"/>
      <c r="L30" s="24"/>
      <c r="M30" s="24"/>
      <c r="N30" s="22"/>
      <c r="O30" s="22"/>
      <c r="P30" s="23"/>
      <c r="Q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</row>
    <row r="31" spans="2:57" ht="15">
      <c r="B31" s="18" t="str">
        <f>IF(C31="","",VLOOKUP([1]DATA!W22,'[1]DATA Engine'!$A$3:$H$800,2,FALSE))</f>
        <v/>
      </c>
      <c r="C31" s="19" t="str">
        <f>IFERROR(VLOOKUP([1]DATA!W22,'[1]DATA Engine'!$A$3:$H$800,3,FALSE),"")</f>
        <v/>
      </c>
      <c r="D31" s="20" t="str">
        <f>IFERROR(VLOOKUP([1]DATA!W22,'[1]DATA Engine'!$A$3:$H$800,4,FALSE),"")</f>
        <v/>
      </c>
      <c r="E31" s="20" t="str">
        <f>IFERROR(VLOOKUP([1]DATA!W22,'[1]DATA Engine'!$A$3:$H$800,5,FALSE),"")</f>
        <v/>
      </c>
      <c r="F31" s="18" t="str">
        <f>IFERROR(VLOOKUP([1]DATA!W22,'[1]DATA Engine'!$A$3:$H$800,6,FALSE),"")</f>
        <v/>
      </c>
      <c r="G31" s="18" t="str">
        <f>IFERROR(VLOOKUP([1]DATA!W22,'[1]DATA Engine'!$A$3:$H$800,7,FALSE),"")</f>
        <v/>
      </c>
      <c r="H31" s="18" t="str">
        <f>IFERROR(IF(ISNUMBER(SEARCH("GOW",VLOOKUP([1]DATA!W22,'[1]DATA Engine'!$A$3:$H$800,8,FALSE))),"GOW",""),"")</f>
        <v/>
      </c>
      <c r="I31" s="26"/>
      <c r="J31" s="24"/>
      <c r="K31" s="24"/>
      <c r="L31" s="24"/>
      <c r="M31" s="24"/>
      <c r="N31" s="22"/>
      <c r="O31" s="22"/>
      <c r="P31" s="23"/>
      <c r="Q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</row>
    <row r="32" spans="2:57" ht="15">
      <c r="B32" s="18" t="str">
        <f>IF(C32="","",VLOOKUP([1]DATA!W23,'[1]DATA Engine'!$A$3:$H$800,2,FALSE))</f>
        <v/>
      </c>
      <c r="C32" s="19" t="str">
        <f>IFERROR(VLOOKUP([1]DATA!W23,'[1]DATA Engine'!$A$3:$H$800,3,FALSE),"")</f>
        <v/>
      </c>
      <c r="D32" s="20" t="str">
        <f>IFERROR(VLOOKUP([1]DATA!W23,'[1]DATA Engine'!$A$3:$H$800,4,FALSE),"")</f>
        <v/>
      </c>
      <c r="E32" s="20" t="str">
        <f>IFERROR(VLOOKUP([1]DATA!W23,'[1]DATA Engine'!$A$3:$H$800,5,FALSE),"")</f>
        <v/>
      </c>
      <c r="F32" s="18" t="str">
        <f>IFERROR(VLOOKUP([1]DATA!W23,'[1]DATA Engine'!$A$3:$H$800,6,FALSE),"")</f>
        <v/>
      </c>
      <c r="G32" s="18" t="str">
        <f>IFERROR(VLOOKUP([1]DATA!W23,'[1]DATA Engine'!$A$3:$H$800,7,FALSE),"")</f>
        <v/>
      </c>
      <c r="H32" s="18" t="str">
        <f>IFERROR(IF(ISNUMBER(SEARCH("GOW",VLOOKUP([1]DATA!W23,'[1]DATA Engine'!$A$3:$H$800,8,FALSE))),"GOW",""),"")</f>
        <v/>
      </c>
      <c r="I32" s="26"/>
      <c r="J32" s="24"/>
      <c r="K32" s="24"/>
      <c r="L32" s="24"/>
      <c r="M32" s="24"/>
      <c r="N32" s="22"/>
      <c r="O32" s="22"/>
      <c r="P32" s="23"/>
      <c r="Q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</row>
    <row r="33" spans="2:57" ht="15">
      <c r="B33" s="18" t="str">
        <f>IF(C33="","",VLOOKUP([1]DATA!W24,'[1]DATA Engine'!$A$3:$H$800,2,FALSE))</f>
        <v/>
      </c>
      <c r="C33" s="19" t="str">
        <f>IFERROR(VLOOKUP([1]DATA!W24,'[1]DATA Engine'!$A$3:$H$800,3,FALSE),"")</f>
        <v/>
      </c>
      <c r="D33" s="20" t="str">
        <f>IFERROR(VLOOKUP([1]DATA!W24,'[1]DATA Engine'!$A$3:$H$800,4,FALSE),"")</f>
        <v/>
      </c>
      <c r="E33" s="20" t="str">
        <f>IFERROR(VLOOKUP([1]DATA!W24,'[1]DATA Engine'!$A$3:$H$800,5,FALSE),"")</f>
        <v/>
      </c>
      <c r="F33" s="18" t="str">
        <f>IFERROR(VLOOKUP([1]DATA!W24,'[1]DATA Engine'!$A$3:$H$800,6,FALSE),"")</f>
        <v/>
      </c>
      <c r="G33" s="18" t="str">
        <f>IFERROR(VLOOKUP([1]DATA!W24,'[1]DATA Engine'!$A$3:$H$800,7,FALSE),"")</f>
        <v/>
      </c>
      <c r="H33" s="18" t="str">
        <f>IFERROR(IF(ISNUMBER(SEARCH("GOW",VLOOKUP([1]DATA!W24,'[1]DATA Engine'!$A$3:$H$800,8,FALSE))),"GOW",""),"")</f>
        <v/>
      </c>
      <c r="I33" s="26"/>
      <c r="J33" s="24"/>
      <c r="K33" s="24"/>
      <c r="L33" s="24"/>
      <c r="M33" s="24"/>
      <c r="N33" s="22"/>
      <c r="O33" s="22"/>
      <c r="P33" s="23"/>
      <c r="Q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</row>
    <row r="34" spans="2:57" ht="15">
      <c r="B34" s="18" t="str">
        <f>IF(C34="","",VLOOKUP([1]DATA!W25,'[1]DATA Engine'!$A$3:$H$800,2,FALSE))</f>
        <v/>
      </c>
      <c r="C34" s="19" t="str">
        <f>IFERROR(VLOOKUP([1]DATA!W25,'[1]DATA Engine'!$A$3:$H$800,3,FALSE),"")</f>
        <v/>
      </c>
      <c r="D34" s="20" t="str">
        <f>IFERROR(VLOOKUP([1]DATA!W25,'[1]DATA Engine'!$A$3:$H$800,4,FALSE),"")</f>
        <v/>
      </c>
      <c r="E34" s="20" t="str">
        <f>IFERROR(VLOOKUP([1]DATA!W25,'[1]DATA Engine'!$A$3:$H$800,5,FALSE),"")</f>
        <v/>
      </c>
      <c r="F34" s="18" t="str">
        <f>IFERROR(VLOOKUP([1]DATA!W25,'[1]DATA Engine'!$A$3:$H$800,6,FALSE),"")</f>
        <v/>
      </c>
      <c r="G34" s="18" t="str">
        <f>IFERROR(VLOOKUP([1]DATA!W25,'[1]DATA Engine'!$A$3:$H$800,7,FALSE),"")</f>
        <v/>
      </c>
      <c r="H34" s="18" t="str">
        <f>IFERROR(IF(ISNUMBER(SEARCH("GOW",VLOOKUP([1]DATA!W25,'[1]DATA Engine'!$A$3:$H$800,8,FALSE))),"GOW",""),"")</f>
        <v/>
      </c>
      <c r="I34" s="26"/>
      <c r="J34" s="24"/>
      <c r="K34" s="24"/>
      <c r="L34" s="24"/>
      <c r="M34" s="24"/>
      <c r="N34" s="22"/>
      <c r="O34" s="22"/>
      <c r="P34" s="23"/>
      <c r="Q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</row>
    <row r="35" spans="2:57" ht="15">
      <c r="B35" s="18" t="str">
        <f>IF(C35="","",VLOOKUP([1]DATA!W26,'[1]DATA Engine'!$A$3:$H$800,2,FALSE))</f>
        <v/>
      </c>
      <c r="C35" s="19" t="str">
        <f>IFERROR(VLOOKUP([1]DATA!W26,'[1]DATA Engine'!$A$3:$H$800,3,FALSE),"")</f>
        <v/>
      </c>
      <c r="D35" s="20" t="str">
        <f>IFERROR(VLOOKUP([1]DATA!W26,'[1]DATA Engine'!$A$3:$H$800,4,FALSE),"")</f>
        <v/>
      </c>
      <c r="E35" s="20" t="str">
        <f>IFERROR(VLOOKUP([1]DATA!W26,'[1]DATA Engine'!$A$3:$H$800,5,FALSE),"")</f>
        <v/>
      </c>
      <c r="F35" s="18" t="str">
        <f>IFERROR(VLOOKUP([1]DATA!W26,'[1]DATA Engine'!$A$3:$H$800,6,FALSE),"")</f>
        <v/>
      </c>
      <c r="G35" s="18" t="str">
        <f>IFERROR(VLOOKUP([1]DATA!W26,'[1]DATA Engine'!$A$3:$H$800,7,FALSE),"")</f>
        <v/>
      </c>
      <c r="H35" s="18" t="str">
        <f>IFERROR(IF(ISNUMBER(SEARCH("GOW",VLOOKUP([1]DATA!W26,'[1]DATA Engine'!$A$3:$H$800,8,FALSE))),"GOW",""),"")</f>
        <v/>
      </c>
      <c r="I35" s="26"/>
      <c r="J35" s="24"/>
      <c r="K35" s="24"/>
      <c r="L35" s="24"/>
      <c r="M35" s="24"/>
      <c r="N35" s="22"/>
      <c r="O35" s="22"/>
      <c r="P35" s="23"/>
      <c r="Q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</row>
    <row r="36" spans="2:57" ht="15">
      <c r="B36" s="18" t="str">
        <f>IF(C36="","",VLOOKUP([1]DATA!W27,'[1]DATA Engine'!$A$3:$H$800,2,FALSE))</f>
        <v/>
      </c>
      <c r="C36" s="19" t="str">
        <f>IFERROR(VLOOKUP([1]DATA!W27,'[1]DATA Engine'!$A$3:$H$800,3,FALSE),"")</f>
        <v/>
      </c>
      <c r="D36" s="20" t="str">
        <f>IFERROR(VLOOKUP([1]DATA!W27,'[1]DATA Engine'!$A$3:$H$800,4,FALSE),"")</f>
        <v/>
      </c>
      <c r="E36" s="20" t="str">
        <f>IFERROR(VLOOKUP([1]DATA!W27,'[1]DATA Engine'!$A$3:$H$800,5,FALSE),"")</f>
        <v/>
      </c>
      <c r="F36" s="18" t="str">
        <f>IFERROR(VLOOKUP([1]DATA!W27,'[1]DATA Engine'!$A$3:$H$800,6,FALSE),"")</f>
        <v/>
      </c>
      <c r="G36" s="18" t="str">
        <f>IFERROR(VLOOKUP([1]DATA!W27,'[1]DATA Engine'!$A$3:$H$800,7,FALSE),"")</f>
        <v/>
      </c>
      <c r="H36" s="18" t="str">
        <f>IFERROR(IF(ISNUMBER(SEARCH("GOW",VLOOKUP([1]DATA!W27,'[1]DATA Engine'!$A$3:$H$800,8,FALSE))),"GOW",""),"")</f>
        <v/>
      </c>
      <c r="I36" s="26"/>
      <c r="J36" s="24"/>
      <c r="K36" s="24"/>
      <c r="L36" s="24"/>
      <c r="M36" s="24"/>
      <c r="N36" s="22"/>
      <c r="O36" s="22"/>
      <c r="P36" s="23"/>
      <c r="Q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</row>
    <row r="37" spans="2:57" ht="15">
      <c r="B37" s="18" t="str">
        <f>IF(C37="","",VLOOKUP([1]DATA!W28,'[1]DATA Engine'!$A$3:$H$800,2,FALSE))</f>
        <v/>
      </c>
      <c r="C37" s="19" t="str">
        <f>IFERROR(VLOOKUP([1]DATA!W28,'[1]DATA Engine'!$A$3:$H$800,3,FALSE),"")</f>
        <v/>
      </c>
      <c r="D37" s="20" t="str">
        <f>IFERROR(VLOOKUP([1]DATA!W28,'[1]DATA Engine'!$A$3:$H$800,4,FALSE),"")</f>
        <v/>
      </c>
      <c r="E37" s="20" t="str">
        <f>IFERROR(VLOOKUP([1]DATA!W28,'[1]DATA Engine'!$A$3:$H$800,5,FALSE),"")</f>
        <v/>
      </c>
      <c r="F37" s="18" t="str">
        <f>IFERROR(VLOOKUP([1]DATA!W28,'[1]DATA Engine'!$A$3:$H$800,6,FALSE),"")</f>
        <v/>
      </c>
      <c r="G37" s="18" t="str">
        <f>IFERROR(VLOOKUP([1]DATA!W28,'[1]DATA Engine'!$A$3:$H$800,7,FALSE),"")</f>
        <v/>
      </c>
      <c r="H37" s="18" t="str">
        <f>IFERROR(IF(ISNUMBER(SEARCH("GOW",VLOOKUP([1]DATA!W28,'[1]DATA Engine'!$A$3:$H$800,8,FALSE))),"GOW",""),"")</f>
        <v/>
      </c>
      <c r="I37" s="26"/>
      <c r="J37" s="24"/>
      <c r="K37" s="24"/>
      <c r="L37" s="24"/>
      <c r="M37" s="24"/>
      <c r="N37" s="24"/>
      <c r="O37" s="22"/>
      <c r="P37" s="25"/>
      <c r="Q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</row>
    <row r="38" spans="2:57" ht="15">
      <c r="B38" s="18" t="str">
        <f>IF(C38="","",VLOOKUP([1]DATA!W29,'[1]DATA Engine'!$A$3:$H$800,2,FALSE))</f>
        <v/>
      </c>
      <c r="C38" s="19" t="str">
        <f>IFERROR(VLOOKUP([1]DATA!W29,'[1]DATA Engine'!$A$3:$H$800,3,FALSE),"")</f>
        <v/>
      </c>
      <c r="D38" s="20" t="str">
        <f>IFERROR(VLOOKUP([1]DATA!W29,'[1]DATA Engine'!$A$3:$H$800,4,FALSE),"")</f>
        <v/>
      </c>
      <c r="E38" s="20" t="str">
        <f>IFERROR(VLOOKUP([1]DATA!W29,'[1]DATA Engine'!$A$3:$H$800,5,FALSE),"")</f>
        <v/>
      </c>
      <c r="F38" s="18" t="str">
        <f>IFERROR(VLOOKUP([1]DATA!W29,'[1]DATA Engine'!$A$3:$H$800,6,FALSE),"")</f>
        <v/>
      </c>
      <c r="G38" s="18" t="str">
        <f>IFERROR(VLOOKUP([1]DATA!W29,'[1]DATA Engine'!$A$3:$H$800,7,FALSE),"")</f>
        <v/>
      </c>
      <c r="H38" s="18" t="str">
        <f>IFERROR(IF(ISNUMBER(SEARCH("GOW",VLOOKUP([1]DATA!W29,'[1]DATA Engine'!$A$3:$H$800,8,FALSE))),"GOW",""),"")</f>
        <v/>
      </c>
      <c r="I38" s="26"/>
      <c r="J38" s="24"/>
      <c r="K38" s="24"/>
      <c r="L38" s="24"/>
      <c r="M38" s="24"/>
      <c r="N38" s="22"/>
      <c r="O38" s="22"/>
      <c r="P38" s="23"/>
      <c r="Q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</row>
    <row r="39" spans="2:57" ht="15">
      <c r="B39" s="18" t="str">
        <f>IF(C39="","",VLOOKUP([1]DATA!W30,'[1]DATA Engine'!$A$3:$H$800,2,FALSE))</f>
        <v/>
      </c>
      <c r="C39" s="19" t="str">
        <f>IFERROR(VLOOKUP([1]DATA!W30,'[1]DATA Engine'!$A$3:$H$800,3,FALSE),"")</f>
        <v/>
      </c>
      <c r="D39" s="20" t="str">
        <f>IFERROR(VLOOKUP([1]DATA!W30,'[1]DATA Engine'!$A$3:$H$800,4,FALSE),"")</f>
        <v/>
      </c>
      <c r="E39" s="20" t="str">
        <f>IFERROR(VLOOKUP([1]DATA!W30,'[1]DATA Engine'!$A$3:$H$800,5,FALSE),"")</f>
        <v/>
      </c>
      <c r="F39" s="18" t="str">
        <f>IFERROR(VLOOKUP([1]DATA!W30,'[1]DATA Engine'!$A$3:$H$800,6,FALSE),"")</f>
        <v/>
      </c>
      <c r="G39" s="18" t="str">
        <f>IFERROR(VLOOKUP([1]DATA!W30,'[1]DATA Engine'!$A$3:$H$800,7,FALSE),"")</f>
        <v/>
      </c>
      <c r="H39" s="18" t="str">
        <f>IFERROR(IF(ISNUMBER(SEARCH("GOW",VLOOKUP([1]DATA!W30,'[1]DATA Engine'!$A$3:$H$800,8,FALSE))),"GOW",""),"")</f>
        <v/>
      </c>
      <c r="I39" s="26"/>
      <c r="J39" s="24"/>
      <c r="K39" s="24"/>
      <c r="L39" s="24"/>
      <c r="M39" s="24"/>
      <c r="N39" s="22"/>
      <c r="O39" s="22"/>
      <c r="P39" s="23"/>
      <c r="Q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</row>
    <row r="40" spans="2:57" ht="15">
      <c r="B40" s="18" t="str">
        <f>IF(C40="","",VLOOKUP([1]DATA!W31,'[1]DATA Engine'!$A$3:$H$800,2,FALSE))</f>
        <v/>
      </c>
      <c r="C40" s="19" t="str">
        <f>IFERROR(VLOOKUP([1]DATA!W31,'[1]DATA Engine'!$A$3:$H$800,3,FALSE),"")</f>
        <v/>
      </c>
      <c r="D40" s="20" t="str">
        <f>IFERROR(VLOOKUP([1]DATA!W31,'[1]DATA Engine'!$A$3:$H$800,4,FALSE),"")</f>
        <v/>
      </c>
      <c r="E40" s="20" t="str">
        <f>IFERROR(VLOOKUP([1]DATA!W31,'[1]DATA Engine'!$A$3:$H$800,5,FALSE),"")</f>
        <v/>
      </c>
      <c r="F40" s="18" t="str">
        <f>IFERROR(VLOOKUP([1]DATA!W31,'[1]DATA Engine'!$A$3:$H$800,6,FALSE),"")</f>
        <v/>
      </c>
      <c r="G40" s="18" t="str">
        <f>IFERROR(VLOOKUP([1]DATA!W31,'[1]DATA Engine'!$A$3:$H$800,7,FALSE),"")</f>
        <v/>
      </c>
      <c r="H40" s="18" t="str">
        <f>IFERROR(IF(ISNUMBER(SEARCH("GOW",VLOOKUP([1]DATA!W31,'[1]DATA Engine'!$A$3:$H$800,8,FALSE))),"GOW",""),"")</f>
        <v/>
      </c>
      <c r="I40" s="26"/>
      <c r="J40" s="24"/>
      <c r="K40" s="24"/>
      <c r="L40" s="24"/>
      <c r="M40" s="24"/>
      <c r="N40" s="22"/>
      <c r="O40" s="22"/>
      <c r="P40" s="23"/>
      <c r="Q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</row>
    <row r="41" spans="2:57" ht="15">
      <c r="B41" s="18" t="str">
        <f>IF(C41="","",VLOOKUP([1]DATA!W32,'[1]DATA Engine'!$A$3:$H$800,2,FALSE))</f>
        <v/>
      </c>
      <c r="C41" s="19" t="str">
        <f>IFERROR(VLOOKUP([1]DATA!W32,'[1]DATA Engine'!$A$3:$H$800,3,FALSE),"")</f>
        <v/>
      </c>
      <c r="D41" s="20" t="str">
        <f>IFERROR(VLOOKUP([1]DATA!W32,'[1]DATA Engine'!$A$3:$H$800,4,FALSE),"")</f>
        <v/>
      </c>
      <c r="E41" s="20" t="str">
        <f>IFERROR(VLOOKUP([1]DATA!W32,'[1]DATA Engine'!$A$3:$H$800,5,FALSE),"")</f>
        <v/>
      </c>
      <c r="F41" s="18" t="str">
        <f>IFERROR(VLOOKUP([1]DATA!W32,'[1]DATA Engine'!$A$3:$H$800,6,FALSE),"")</f>
        <v/>
      </c>
      <c r="G41" s="18" t="str">
        <f>IFERROR(VLOOKUP([1]DATA!W32,'[1]DATA Engine'!$A$3:$H$800,7,FALSE),"")</f>
        <v/>
      </c>
      <c r="H41" s="18" t="str">
        <f>IFERROR(IF(ISNUMBER(SEARCH("GOW",VLOOKUP([1]DATA!W32,'[1]DATA Engine'!$A$3:$H$800,8,FALSE))),"GOW",""),"")</f>
        <v/>
      </c>
      <c r="I41" s="26"/>
      <c r="J41" s="24"/>
      <c r="K41" s="24"/>
      <c r="L41" s="24"/>
      <c r="M41" s="24"/>
      <c r="N41" s="22"/>
      <c r="O41" s="22"/>
      <c r="P41" s="23"/>
      <c r="Q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</row>
    <row r="42" spans="2:57" ht="15">
      <c r="B42" s="18" t="str">
        <f>IF(C42="","",VLOOKUP([1]DATA!W33,'[1]DATA Engine'!$A$3:$H$800,2,FALSE))</f>
        <v/>
      </c>
      <c r="C42" s="19" t="str">
        <f>IFERROR(VLOOKUP([1]DATA!W33,'[1]DATA Engine'!$A$3:$H$800,3,FALSE),"")</f>
        <v/>
      </c>
      <c r="D42" s="20" t="str">
        <f>IFERROR(VLOOKUP([1]DATA!W33,'[1]DATA Engine'!$A$3:$H$800,4,FALSE),"")</f>
        <v/>
      </c>
      <c r="E42" s="20" t="str">
        <f>IFERROR(VLOOKUP([1]DATA!W33,'[1]DATA Engine'!$A$3:$H$800,5,FALSE),"")</f>
        <v/>
      </c>
      <c r="F42" s="18" t="str">
        <f>IFERROR(VLOOKUP([1]DATA!W33,'[1]DATA Engine'!$A$3:$H$800,6,FALSE),"")</f>
        <v/>
      </c>
      <c r="G42" s="18" t="str">
        <f>IFERROR(VLOOKUP([1]DATA!W33,'[1]DATA Engine'!$A$3:$H$800,7,FALSE),"")</f>
        <v/>
      </c>
      <c r="H42" s="18" t="str">
        <f>IFERROR(IF(ISNUMBER(SEARCH("GOW",VLOOKUP([1]DATA!W33,'[1]DATA Engine'!$A$3:$H$800,8,FALSE))),"GOW",""),"")</f>
        <v/>
      </c>
      <c r="I42" s="26"/>
      <c r="J42" s="24"/>
      <c r="K42" s="24"/>
      <c r="L42" s="24"/>
      <c r="M42" s="24"/>
      <c r="N42" s="22"/>
      <c r="O42" s="22"/>
      <c r="P42" s="23"/>
      <c r="Q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</row>
    <row r="43" spans="2:57" ht="15">
      <c r="B43" s="18" t="str">
        <f>IF(C43="","",VLOOKUP([1]DATA!W34,'[1]DATA Engine'!$A$3:$H$800,2,FALSE))</f>
        <v/>
      </c>
      <c r="C43" s="19" t="str">
        <f>IFERROR(VLOOKUP([1]DATA!W34,'[1]DATA Engine'!$A$3:$H$800,3,FALSE),"")</f>
        <v/>
      </c>
      <c r="D43" s="20" t="str">
        <f>IFERROR(VLOOKUP([1]DATA!W34,'[1]DATA Engine'!$A$3:$H$800,4,FALSE),"")</f>
        <v/>
      </c>
      <c r="E43" s="20" t="str">
        <f>IFERROR(VLOOKUP([1]DATA!W34,'[1]DATA Engine'!$A$3:$H$800,5,FALSE),"")</f>
        <v/>
      </c>
      <c r="F43" s="18" t="str">
        <f>IFERROR(VLOOKUP([1]DATA!W34,'[1]DATA Engine'!$A$3:$H$800,6,FALSE),"")</f>
        <v/>
      </c>
      <c r="G43" s="18" t="str">
        <f>IFERROR(VLOOKUP([1]DATA!W34,'[1]DATA Engine'!$A$3:$H$800,7,FALSE),"")</f>
        <v/>
      </c>
      <c r="H43" s="18" t="str">
        <f>IFERROR(IF(ISNUMBER(SEARCH("GOW",VLOOKUP([1]DATA!W34,'[1]DATA Engine'!$A$3:$H$800,8,FALSE))),"GOW",""),"")</f>
        <v/>
      </c>
      <c r="I43" s="26"/>
      <c r="J43" s="24"/>
      <c r="K43" s="24"/>
      <c r="L43" s="24"/>
      <c r="M43" s="24"/>
      <c r="N43" s="22"/>
      <c r="O43" s="22"/>
      <c r="P43" s="23"/>
      <c r="Q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</row>
    <row r="44" spans="2:57" ht="15">
      <c r="B44" s="18" t="str">
        <f>IF(C44="","",VLOOKUP([1]DATA!W35,'[1]DATA Engine'!$A$3:$H$800,2,FALSE))</f>
        <v/>
      </c>
      <c r="C44" s="19" t="str">
        <f>IFERROR(VLOOKUP([1]DATA!W35,'[1]DATA Engine'!$A$3:$H$800,3,FALSE),"")</f>
        <v/>
      </c>
      <c r="D44" s="20" t="str">
        <f>IFERROR(VLOOKUP([1]DATA!W35,'[1]DATA Engine'!$A$3:$H$800,4,FALSE),"")</f>
        <v/>
      </c>
      <c r="E44" s="20" t="str">
        <f>IFERROR(VLOOKUP([1]DATA!W35,'[1]DATA Engine'!$A$3:$H$800,5,FALSE),"")</f>
        <v/>
      </c>
      <c r="F44" s="18" t="str">
        <f>IFERROR(VLOOKUP([1]DATA!W35,'[1]DATA Engine'!$A$3:$H$800,6,FALSE),"")</f>
        <v/>
      </c>
      <c r="G44" s="18" t="str">
        <f>IFERROR(VLOOKUP([1]DATA!W35,'[1]DATA Engine'!$A$3:$H$800,7,FALSE),"")</f>
        <v/>
      </c>
      <c r="H44" s="18" t="str">
        <f>IFERROR(IF(ISNUMBER(SEARCH("GOW",VLOOKUP([1]DATA!W35,'[1]DATA Engine'!$A$3:$H$800,8,FALSE))),"GOW",""),"")</f>
        <v/>
      </c>
      <c r="I44" s="26"/>
      <c r="J44" s="24"/>
      <c r="K44" s="24"/>
      <c r="L44" s="24"/>
      <c r="M44" s="24"/>
      <c r="N44" s="22"/>
      <c r="O44" s="22"/>
      <c r="P44" s="23"/>
      <c r="Q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</row>
    <row r="45" spans="2:57" ht="15">
      <c r="B45" s="18" t="str">
        <f>IF(C45="","",VLOOKUP([1]DATA!W36,'[1]DATA Engine'!$A$3:$H$800,2,FALSE))</f>
        <v/>
      </c>
      <c r="C45" s="19" t="str">
        <f>IFERROR(VLOOKUP([1]DATA!W36,'[1]DATA Engine'!$A$3:$H$800,3,FALSE),"")</f>
        <v/>
      </c>
      <c r="D45" s="20" t="str">
        <f>IFERROR(VLOOKUP([1]DATA!W36,'[1]DATA Engine'!$A$3:$H$800,4,FALSE),"")</f>
        <v/>
      </c>
      <c r="E45" s="20" t="str">
        <f>IFERROR(VLOOKUP([1]DATA!W36,'[1]DATA Engine'!$A$3:$H$800,5,FALSE),"")</f>
        <v/>
      </c>
      <c r="F45" s="18" t="str">
        <f>IFERROR(VLOOKUP([1]DATA!W36,'[1]DATA Engine'!$A$3:$H$800,6,FALSE),"")</f>
        <v/>
      </c>
      <c r="G45" s="18" t="str">
        <f>IFERROR(VLOOKUP([1]DATA!W36,'[1]DATA Engine'!$A$3:$H$800,7,FALSE),"")</f>
        <v/>
      </c>
      <c r="H45" s="18" t="str">
        <f>IFERROR(IF(ISNUMBER(SEARCH("GOW",VLOOKUP([1]DATA!W36,'[1]DATA Engine'!$A$3:$H$800,8,FALSE))),"GOW",""),"")</f>
        <v/>
      </c>
      <c r="I45" s="26"/>
      <c r="J45" s="24"/>
      <c r="K45" s="24"/>
      <c r="L45" s="24"/>
      <c r="M45" s="24"/>
      <c r="N45" s="22"/>
      <c r="O45" s="22"/>
      <c r="P45" s="23"/>
      <c r="Q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</row>
    <row r="46" spans="2:57" ht="15">
      <c r="B46" s="18" t="str">
        <f>IF(C46="","",VLOOKUP([1]DATA!W37,'[1]DATA Engine'!$A$3:$H$800,2,FALSE))</f>
        <v/>
      </c>
      <c r="C46" s="19" t="str">
        <f>IFERROR(VLOOKUP([1]DATA!W37,'[1]DATA Engine'!$A$3:$H$800,3,FALSE),"")</f>
        <v/>
      </c>
      <c r="D46" s="20" t="str">
        <f>IFERROR(VLOOKUP([1]DATA!W37,'[1]DATA Engine'!$A$3:$H$800,4,FALSE),"")</f>
        <v/>
      </c>
      <c r="E46" s="20" t="str">
        <f>IFERROR(VLOOKUP([1]DATA!W37,'[1]DATA Engine'!$A$3:$H$800,5,FALSE),"")</f>
        <v/>
      </c>
      <c r="F46" s="18" t="str">
        <f>IFERROR(VLOOKUP([1]DATA!W37,'[1]DATA Engine'!$A$3:$H$800,6,FALSE),"")</f>
        <v/>
      </c>
      <c r="G46" s="18" t="str">
        <f>IFERROR(VLOOKUP([1]DATA!W37,'[1]DATA Engine'!$A$3:$H$800,7,FALSE),"")</f>
        <v/>
      </c>
      <c r="H46" s="18" t="str">
        <f>IFERROR(IF(ISNUMBER(SEARCH("GOW",VLOOKUP([1]DATA!W37,'[1]DATA Engine'!$A$3:$H$800,8,FALSE))),"GOW",""),"")</f>
        <v/>
      </c>
      <c r="I46" s="26"/>
      <c r="J46" s="24"/>
      <c r="K46" s="24"/>
      <c r="L46" s="24"/>
      <c r="M46" s="24"/>
      <c r="N46" s="24"/>
      <c r="O46" s="22"/>
      <c r="P46" s="25"/>
      <c r="Q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</row>
    <row r="47" spans="2:57" ht="15">
      <c r="B47" s="18" t="str">
        <f>IF(C47="","",VLOOKUP([1]DATA!W38,'[1]DATA Engine'!$A$3:$H$800,2,FALSE))</f>
        <v/>
      </c>
      <c r="C47" s="19" t="str">
        <f>IFERROR(VLOOKUP([1]DATA!W38,'[1]DATA Engine'!$A$3:$H$800,3,FALSE),"")</f>
        <v/>
      </c>
      <c r="D47" s="20" t="str">
        <f>IFERROR(VLOOKUP([1]DATA!W38,'[1]DATA Engine'!$A$3:$H$800,4,FALSE),"")</f>
        <v/>
      </c>
      <c r="E47" s="20" t="str">
        <f>IFERROR(VLOOKUP([1]DATA!W38,'[1]DATA Engine'!$A$3:$H$800,5,FALSE),"")</f>
        <v/>
      </c>
      <c r="F47" s="18" t="str">
        <f>IFERROR(VLOOKUP([1]DATA!W38,'[1]DATA Engine'!$A$3:$H$800,6,FALSE),"")</f>
        <v/>
      </c>
      <c r="G47" s="18" t="str">
        <f>IFERROR(VLOOKUP([1]DATA!W38,'[1]DATA Engine'!$A$3:$H$800,7,FALSE),"")</f>
        <v/>
      </c>
      <c r="H47" s="18" t="str">
        <f>IFERROR(IF(ISNUMBER(SEARCH("GOW",VLOOKUP([1]DATA!W38,'[1]DATA Engine'!$A$3:$H$800,8,FALSE))),"GOW",""),"")</f>
        <v/>
      </c>
      <c r="I47" s="26"/>
      <c r="J47" s="24"/>
      <c r="K47" s="24"/>
      <c r="L47" s="24"/>
      <c r="M47" s="24"/>
      <c r="N47" s="22"/>
      <c r="O47" s="22"/>
      <c r="P47" s="23"/>
      <c r="Q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</row>
    <row r="48" spans="2:57" ht="15">
      <c r="B48" s="18" t="str">
        <f>IF(C48="","",VLOOKUP([1]DATA!W39,'[1]DATA Engine'!$A$3:$H$800,2,FALSE))</f>
        <v/>
      </c>
      <c r="C48" s="19" t="str">
        <f>IFERROR(VLOOKUP([1]DATA!W39,'[1]DATA Engine'!$A$3:$H$800,3,FALSE),"")</f>
        <v/>
      </c>
      <c r="D48" s="20" t="str">
        <f>IFERROR(VLOOKUP([1]DATA!W39,'[1]DATA Engine'!$A$3:$H$800,4,FALSE),"")</f>
        <v/>
      </c>
      <c r="E48" s="20" t="str">
        <f>IFERROR(VLOOKUP([1]DATA!W39,'[1]DATA Engine'!$A$3:$H$800,5,FALSE),"")</f>
        <v/>
      </c>
      <c r="F48" s="18" t="str">
        <f>IFERROR(VLOOKUP([1]DATA!W39,'[1]DATA Engine'!$A$3:$H$800,6,FALSE),"")</f>
        <v/>
      </c>
      <c r="G48" s="18" t="str">
        <f>IFERROR(VLOOKUP([1]DATA!W39,'[1]DATA Engine'!$A$3:$H$800,7,FALSE),"")</f>
        <v/>
      </c>
      <c r="H48" s="18" t="str">
        <f>IFERROR(IF(ISNUMBER(SEARCH("GOW",VLOOKUP([1]DATA!W39,'[1]DATA Engine'!$A$3:$H$800,8,FALSE))),"GOW",""),"")</f>
        <v/>
      </c>
      <c r="I48" s="26"/>
      <c r="J48" s="24"/>
      <c r="K48" s="24"/>
      <c r="L48" s="24"/>
      <c r="M48" s="24"/>
      <c r="N48" s="22"/>
      <c r="O48" s="22"/>
      <c r="P48" s="23"/>
      <c r="Q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</row>
    <row r="49" spans="2:57" ht="15">
      <c r="B49" s="18" t="str">
        <f>IF(C49="","",VLOOKUP([1]DATA!W40,'[1]DATA Engine'!$A$3:$H$800,2,FALSE))</f>
        <v/>
      </c>
      <c r="C49" s="19" t="str">
        <f>IFERROR(VLOOKUP([1]DATA!W40,'[1]DATA Engine'!$A$3:$H$800,3,FALSE),"")</f>
        <v/>
      </c>
      <c r="D49" s="20" t="str">
        <f>IFERROR(VLOOKUP([1]DATA!W40,'[1]DATA Engine'!$A$3:$H$800,4,FALSE),"")</f>
        <v/>
      </c>
      <c r="E49" s="20" t="str">
        <f>IFERROR(VLOOKUP([1]DATA!W40,'[1]DATA Engine'!$A$3:$H$800,5,FALSE),"")</f>
        <v/>
      </c>
      <c r="F49" s="18" t="str">
        <f>IFERROR(VLOOKUP([1]DATA!W40,'[1]DATA Engine'!$A$3:$H$800,6,FALSE),"")</f>
        <v/>
      </c>
      <c r="G49" s="18" t="str">
        <f>IFERROR(VLOOKUP([1]DATA!W40,'[1]DATA Engine'!$A$3:$H$800,7,FALSE),"")</f>
        <v/>
      </c>
      <c r="H49" s="18" t="str">
        <f>IFERROR(IF(ISNUMBER(SEARCH("GOW",VLOOKUP([1]DATA!W40,'[1]DATA Engine'!$A$3:$H$800,8,FALSE))),"GOW",""),"")</f>
        <v/>
      </c>
      <c r="I49" s="26"/>
      <c r="J49" s="24"/>
      <c r="K49" s="24"/>
      <c r="L49" s="24"/>
      <c r="M49" s="24"/>
      <c r="N49" s="22"/>
      <c r="O49" s="22"/>
      <c r="P49" s="23"/>
      <c r="Q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</row>
    <row r="50" spans="2:57" ht="15">
      <c r="B50" s="18" t="str">
        <f>IF(C50="","",VLOOKUP([1]DATA!W41,'[1]DATA Engine'!$A$3:$H$800,2,FALSE))</f>
        <v/>
      </c>
      <c r="C50" s="19" t="str">
        <f>IFERROR(VLOOKUP([1]DATA!W41,'[1]DATA Engine'!$A$3:$H$800,3,FALSE),"")</f>
        <v/>
      </c>
      <c r="D50" s="20" t="str">
        <f>IFERROR(VLOOKUP([1]DATA!W41,'[1]DATA Engine'!$A$3:$H$800,4,FALSE),"")</f>
        <v/>
      </c>
      <c r="E50" s="20" t="str">
        <f>IFERROR(VLOOKUP([1]DATA!W41,'[1]DATA Engine'!$A$3:$H$800,5,FALSE),"")</f>
        <v/>
      </c>
      <c r="F50" s="18" t="str">
        <f>IFERROR(VLOOKUP([1]DATA!W41,'[1]DATA Engine'!$A$3:$H$800,6,FALSE),"")</f>
        <v/>
      </c>
      <c r="G50" s="18" t="str">
        <f>IFERROR(VLOOKUP([1]DATA!W41,'[1]DATA Engine'!$A$3:$H$800,7,FALSE),"")</f>
        <v/>
      </c>
      <c r="H50" s="18" t="str">
        <f>IFERROR(IF(ISNUMBER(SEARCH("GOW",VLOOKUP([1]DATA!W41,'[1]DATA Engine'!$A$3:$H$800,8,FALSE))),"GOW",""),"")</f>
        <v/>
      </c>
      <c r="I50" s="26"/>
      <c r="J50" s="24"/>
      <c r="K50" s="24"/>
      <c r="L50" s="24"/>
      <c r="M50" s="24"/>
      <c r="N50" s="22"/>
      <c r="O50" s="22"/>
      <c r="P50" s="23"/>
      <c r="Q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</row>
    <row r="51" spans="2:57" ht="15">
      <c r="B51" s="18" t="str">
        <f>IF(C51="","",VLOOKUP([1]DATA!W42,'[1]DATA Engine'!$A$3:$H$800,2,FALSE))</f>
        <v/>
      </c>
      <c r="C51" s="19" t="str">
        <f>IFERROR(VLOOKUP([1]DATA!W42,'[1]DATA Engine'!$A$3:$H$800,3,FALSE),"")</f>
        <v/>
      </c>
      <c r="D51" s="20" t="str">
        <f>IFERROR(VLOOKUP([1]DATA!W42,'[1]DATA Engine'!$A$3:$H$800,4,FALSE),"")</f>
        <v/>
      </c>
      <c r="E51" s="20" t="str">
        <f>IFERROR(VLOOKUP([1]DATA!W42,'[1]DATA Engine'!$A$3:$H$800,5,FALSE),"")</f>
        <v/>
      </c>
      <c r="F51" s="18" t="str">
        <f>IFERROR(VLOOKUP([1]DATA!W42,'[1]DATA Engine'!$A$3:$H$800,6,FALSE),"")</f>
        <v/>
      </c>
      <c r="G51" s="18" t="str">
        <f>IFERROR(VLOOKUP([1]DATA!W42,'[1]DATA Engine'!$A$3:$H$800,7,FALSE),"")</f>
        <v/>
      </c>
      <c r="H51" s="18" t="str">
        <f>IFERROR(IF(ISNUMBER(SEARCH("GOW",VLOOKUP([1]DATA!W42,'[1]DATA Engine'!$A$3:$H$800,8,FALSE))),"GOW",""),"")</f>
        <v/>
      </c>
      <c r="I51" s="26"/>
      <c r="J51" s="24"/>
      <c r="K51" s="24"/>
      <c r="L51" s="24"/>
      <c r="M51" s="24"/>
      <c r="N51" s="22"/>
      <c r="O51" s="22"/>
      <c r="P51" s="23"/>
      <c r="Q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</row>
    <row r="52" spans="2:57" ht="15">
      <c r="B52" s="18" t="str">
        <f>IF(C52="","",VLOOKUP([1]DATA!W43,'[1]DATA Engine'!$A$3:$H$800,2,FALSE))</f>
        <v/>
      </c>
      <c r="C52" s="19" t="str">
        <f>IFERROR(VLOOKUP([1]DATA!W43,'[1]DATA Engine'!$A$3:$H$800,3,FALSE),"")</f>
        <v/>
      </c>
      <c r="D52" s="20" t="str">
        <f>IFERROR(VLOOKUP([1]DATA!W43,'[1]DATA Engine'!$A$3:$H$800,4,FALSE),"")</f>
        <v/>
      </c>
      <c r="E52" s="20" t="str">
        <f>IFERROR(VLOOKUP([1]DATA!W43,'[1]DATA Engine'!$A$3:$H$800,5,FALSE),"")</f>
        <v/>
      </c>
      <c r="F52" s="18" t="str">
        <f>IFERROR(VLOOKUP([1]DATA!W43,'[1]DATA Engine'!$A$3:$H$800,6,FALSE),"")</f>
        <v/>
      </c>
      <c r="G52" s="18" t="str">
        <f>IFERROR(VLOOKUP([1]DATA!W43,'[1]DATA Engine'!$A$3:$H$800,7,FALSE),"")</f>
        <v/>
      </c>
      <c r="H52" s="18" t="str">
        <f>IFERROR(IF(ISNUMBER(SEARCH("GOW",VLOOKUP([1]DATA!W43,'[1]DATA Engine'!$A$3:$H$800,8,FALSE))),"GOW",""),"")</f>
        <v/>
      </c>
      <c r="I52" s="26"/>
      <c r="J52" s="24"/>
      <c r="K52" s="24"/>
      <c r="L52" s="24"/>
      <c r="M52" s="24"/>
      <c r="N52" s="22"/>
      <c r="O52" s="22"/>
      <c r="P52" s="23"/>
      <c r="Q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</row>
    <row r="53" spans="2:57" ht="15">
      <c r="B53" s="18" t="str">
        <f>IF(C53="","",VLOOKUP([1]DATA!W44,'[1]DATA Engine'!$A$3:$H$800,2,FALSE))</f>
        <v/>
      </c>
      <c r="C53" s="19" t="str">
        <f>IFERROR(VLOOKUP([1]DATA!W44,'[1]DATA Engine'!$A$3:$H$800,3,FALSE),"")</f>
        <v/>
      </c>
      <c r="D53" s="20" t="str">
        <f>IFERROR(VLOOKUP([1]DATA!W44,'[1]DATA Engine'!$A$3:$H$800,4,FALSE),"")</f>
        <v/>
      </c>
      <c r="E53" s="20" t="str">
        <f>IFERROR(VLOOKUP([1]DATA!W44,'[1]DATA Engine'!$A$3:$H$800,5,FALSE),"")</f>
        <v/>
      </c>
      <c r="F53" s="18" t="str">
        <f>IFERROR(VLOOKUP([1]DATA!W44,'[1]DATA Engine'!$A$3:$H$800,6,FALSE),"")</f>
        <v/>
      </c>
      <c r="G53" s="18" t="str">
        <f>IFERROR(VLOOKUP([1]DATA!W44,'[1]DATA Engine'!$A$3:$H$800,7,FALSE),"")</f>
        <v/>
      </c>
      <c r="H53" s="18" t="str">
        <f>IFERROR(IF(ISNUMBER(SEARCH("GOW",VLOOKUP([1]DATA!W44,'[1]DATA Engine'!$A$3:$H$800,8,FALSE))),"GOW",""),"")</f>
        <v/>
      </c>
      <c r="I53" s="26"/>
      <c r="J53" s="24"/>
      <c r="K53" s="24"/>
      <c r="L53" s="24"/>
      <c r="M53" s="24"/>
      <c r="N53" s="22"/>
      <c r="O53" s="22"/>
      <c r="P53" s="23"/>
      <c r="Q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</row>
    <row r="54" spans="2:57" ht="15">
      <c r="B54" s="18" t="str">
        <f>IF(C54="","",VLOOKUP([1]DATA!W45,'[1]DATA Engine'!$A$3:$H$800,2,FALSE))</f>
        <v/>
      </c>
      <c r="C54" s="19" t="str">
        <f>IFERROR(VLOOKUP([1]DATA!W45,'[1]DATA Engine'!$A$3:$H$800,3,FALSE),"")</f>
        <v/>
      </c>
      <c r="D54" s="20" t="str">
        <f>IFERROR(VLOOKUP([1]DATA!W45,'[1]DATA Engine'!$A$3:$H$800,4,FALSE),"")</f>
        <v/>
      </c>
      <c r="E54" s="20" t="str">
        <f>IFERROR(VLOOKUP([1]DATA!W45,'[1]DATA Engine'!$A$3:$H$800,5,FALSE),"")</f>
        <v/>
      </c>
      <c r="F54" s="18" t="str">
        <f>IFERROR(VLOOKUP([1]DATA!W45,'[1]DATA Engine'!$A$3:$H$800,6,FALSE),"")</f>
        <v/>
      </c>
      <c r="G54" s="18" t="str">
        <f>IFERROR(VLOOKUP([1]DATA!W45,'[1]DATA Engine'!$A$3:$H$800,7,FALSE),"")</f>
        <v/>
      </c>
      <c r="H54" s="18" t="str">
        <f>IFERROR(IF(ISNUMBER(SEARCH("GOW",VLOOKUP([1]DATA!W45,'[1]DATA Engine'!$A$3:$H$800,8,FALSE))),"GOW",""),"")</f>
        <v/>
      </c>
      <c r="I54" s="26"/>
      <c r="J54" s="24"/>
      <c r="K54" s="24"/>
      <c r="L54" s="24"/>
      <c r="M54" s="24"/>
      <c r="N54" s="22"/>
      <c r="O54" s="22"/>
      <c r="P54" s="23"/>
      <c r="Q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</row>
    <row r="55" spans="2:57" ht="15">
      <c r="B55" s="18" t="str">
        <f>IF(C55="","",VLOOKUP([1]DATA!W46,'[1]DATA Engine'!$A$3:$H$800,2,FALSE))</f>
        <v/>
      </c>
      <c r="C55" s="19" t="str">
        <f>IFERROR(VLOOKUP([1]DATA!W46,'[1]DATA Engine'!$A$3:$H$800,3,FALSE),"")</f>
        <v/>
      </c>
      <c r="D55" s="20" t="str">
        <f>IFERROR(VLOOKUP([1]DATA!W46,'[1]DATA Engine'!$A$3:$H$800,4,FALSE),"")</f>
        <v/>
      </c>
      <c r="E55" s="20" t="str">
        <f>IFERROR(VLOOKUP([1]DATA!W46,'[1]DATA Engine'!$A$3:$H$800,5,FALSE),"")</f>
        <v/>
      </c>
      <c r="F55" s="18" t="str">
        <f>IFERROR(VLOOKUP([1]DATA!W46,'[1]DATA Engine'!$A$3:$H$800,6,FALSE),"")</f>
        <v/>
      </c>
      <c r="G55" s="18" t="str">
        <f>IFERROR(VLOOKUP([1]DATA!W46,'[1]DATA Engine'!$A$3:$H$800,7,FALSE),"")</f>
        <v/>
      </c>
      <c r="H55" s="18" t="str">
        <f>IFERROR(IF(ISNUMBER(SEARCH("GOW",VLOOKUP([1]DATA!W46,'[1]DATA Engine'!$A$3:$H$800,8,FALSE))),"GOW",""),"")</f>
        <v/>
      </c>
      <c r="I55" s="26"/>
      <c r="J55" s="24"/>
      <c r="K55" s="24"/>
      <c r="L55" s="24"/>
      <c r="M55" s="24"/>
      <c r="N55" s="24"/>
      <c r="O55" s="22"/>
      <c r="P55" s="25"/>
      <c r="Q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</row>
    <row r="56" spans="2:57" ht="15">
      <c r="B56" s="18" t="str">
        <f>IF(C56="","",VLOOKUP([1]DATA!W47,'[1]DATA Engine'!$A$3:$H$800,2,FALSE))</f>
        <v/>
      </c>
      <c r="C56" s="19" t="str">
        <f>IFERROR(VLOOKUP([1]DATA!W47,'[1]DATA Engine'!$A$3:$H$800,3,FALSE),"")</f>
        <v/>
      </c>
      <c r="D56" s="20" t="str">
        <f>IFERROR(VLOOKUP([1]DATA!W47,'[1]DATA Engine'!$A$3:$H$800,4,FALSE),"")</f>
        <v/>
      </c>
      <c r="E56" s="20" t="str">
        <f>IFERROR(VLOOKUP([1]DATA!W47,'[1]DATA Engine'!$A$3:$H$800,5,FALSE),"")</f>
        <v/>
      </c>
      <c r="F56" s="18" t="str">
        <f>IFERROR(VLOOKUP([1]DATA!W47,'[1]DATA Engine'!$A$3:$H$800,6,FALSE),"")</f>
        <v/>
      </c>
      <c r="G56" s="18" t="str">
        <f>IFERROR(VLOOKUP([1]DATA!W47,'[1]DATA Engine'!$A$3:$H$800,7,FALSE),"")</f>
        <v/>
      </c>
      <c r="H56" s="18" t="str">
        <f>IFERROR(IF(ISNUMBER(SEARCH("GOW",VLOOKUP([1]DATA!W47,'[1]DATA Engine'!$A$3:$H$800,8,FALSE))),"GOW",""),"")</f>
        <v/>
      </c>
      <c r="I56" s="26"/>
      <c r="J56" s="24"/>
      <c r="K56" s="24"/>
      <c r="L56" s="24"/>
      <c r="M56" s="24"/>
      <c r="N56" s="24"/>
      <c r="O56" s="22"/>
      <c r="P56" s="25"/>
      <c r="Q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</row>
    <row r="57" spans="2:57" ht="15">
      <c r="B57" s="18" t="str">
        <f>IF(C57="","",VLOOKUP([1]DATA!W48,'[1]DATA Engine'!$A$3:$H$800,2,FALSE))</f>
        <v/>
      </c>
      <c r="C57" s="19" t="str">
        <f>IFERROR(VLOOKUP([1]DATA!W48,'[1]DATA Engine'!$A$3:$H$800,3,FALSE),"")</f>
        <v/>
      </c>
      <c r="D57" s="20" t="str">
        <f>IFERROR(VLOOKUP([1]DATA!W48,'[1]DATA Engine'!$A$3:$H$800,4,FALSE),"")</f>
        <v/>
      </c>
      <c r="E57" s="20" t="str">
        <f>IFERROR(VLOOKUP([1]DATA!W48,'[1]DATA Engine'!$A$3:$H$800,5,FALSE),"")</f>
        <v/>
      </c>
      <c r="F57" s="18" t="str">
        <f>IFERROR(VLOOKUP([1]DATA!W48,'[1]DATA Engine'!$A$3:$H$800,6,FALSE),"")</f>
        <v/>
      </c>
      <c r="G57" s="18" t="str">
        <f>IFERROR(VLOOKUP([1]DATA!W48,'[1]DATA Engine'!$A$3:$H$800,7,FALSE),"")</f>
        <v/>
      </c>
      <c r="H57" s="18" t="str">
        <f>IFERROR(IF(ISNUMBER(SEARCH("GOW",VLOOKUP([1]DATA!W48,'[1]DATA Engine'!$A$3:$H$800,8,FALSE))),"GOW",""),"")</f>
        <v/>
      </c>
      <c r="I57" s="26"/>
      <c r="J57" s="24"/>
      <c r="K57" s="24"/>
      <c r="L57" s="24"/>
      <c r="M57" s="24"/>
      <c r="N57" s="24"/>
      <c r="O57" s="22"/>
      <c r="P57" s="25"/>
      <c r="Q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</row>
    <row r="58" spans="2:57" ht="15">
      <c r="B58" s="18" t="str">
        <f>IF(C58="","",VLOOKUP([1]DATA!W49,'[1]DATA Engine'!$A$3:$H$800,2,FALSE))</f>
        <v/>
      </c>
      <c r="C58" s="19" t="str">
        <f>IFERROR(VLOOKUP([1]DATA!W49,'[1]DATA Engine'!$A$3:$H$800,3,FALSE),"")</f>
        <v/>
      </c>
      <c r="D58" s="20" t="str">
        <f>IFERROR(VLOOKUP([1]DATA!W49,'[1]DATA Engine'!$A$3:$H$800,4,FALSE),"")</f>
        <v/>
      </c>
      <c r="E58" s="20" t="str">
        <f>IFERROR(VLOOKUP([1]DATA!W49,'[1]DATA Engine'!$A$3:$H$800,5,FALSE),"")</f>
        <v/>
      </c>
      <c r="F58" s="18" t="str">
        <f>IFERROR(VLOOKUP([1]DATA!W49,'[1]DATA Engine'!$A$3:$H$800,6,FALSE),"")</f>
        <v/>
      </c>
      <c r="G58" s="18" t="str">
        <f>IFERROR(VLOOKUP([1]DATA!W49,'[1]DATA Engine'!$A$3:$H$800,7,FALSE),"")</f>
        <v/>
      </c>
      <c r="H58" s="18" t="str">
        <f>IFERROR(IF(ISNUMBER(SEARCH("GOW",VLOOKUP([1]DATA!W49,'[1]DATA Engine'!$A$3:$H$800,8,FALSE))),"GOW",""),"")</f>
        <v/>
      </c>
      <c r="I58" s="26"/>
      <c r="J58" s="24"/>
      <c r="K58" s="24"/>
      <c r="L58" s="24"/>
      <c r="M58" s="24"/>
      <c r="N58" s="24"/>
      <c r="O58" s="22"/>
      <c r="P58" s="25"/>
      <c r="Q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</row>
    <row r="59" spans="2:57" ht="15">
      <c r="B59" s="18" t="str">
        <f>IF(C59="","",VLOOKUP([1]DATA!W50,'[1]DATA Engine'!$A$3:$H$800,2,FALSE))</f>
        <v/>
      </c>
      <c r="C59" s="19" t="str">
        <f>IFERROR(VLOOKUP([1]DATA!W50,'[1]DATA Engine'!$A$3:$H$800,3,FALSE),"")</f>
        <v/>
      </c>
      <c r="D59" s="20" t="str">
        <f>IFERROR(VLOOKUP([1]DATA!W50,'[1]DATA Engine'!$A$3:$H$800,4,FALSE),"")</f>
        <v/>
      </c>
      <c r="E59" s="20" t="str">
        <f>IFERROR(VLOOKUP([1]DATA!W50,'[1]DATA Engine'!$A$3:$H$800,5,FALSE),"")</f>
        <v/>
      </c>
      <c r="F59" s="18" t="str">
        <f>IFERROR(VLOOKUP([1]DATA!W50,'[1]DATA Engine'!$A$3:$H$800,6,FALSE),"")</f>
        <v/>
      </c>
      <c r="G59" s="18" t="str">
        <f>IFERROR(VLOOKUP([1]DATA!W50,'[1]DATA Engine'!$A$3:$H$800,7,FALSE),"")</f>
        <v/>
      </c>
      <c r="H59" s="18" t="str">
        <f>IFERROR(IF(ISNUMBER(SEARCH("GOW",VLOOKUP([1]DATA!W50,'[1]DATA Engine'!$A$3:$H$800,8,FALSE))),"GOW",""),"")</f>
        <v/>
      </c>
      <c r="I59" s="26"/>
      <c r="J59" s="24"/>
      <c r="K59" s="24"/>
      <c r="L59" s="24"/>
      <c r="M59" s="24"/>
      <c r="N59" s="24"/>
      <c r="O59" s="22"/>
      <c r="P59" s="25"/>
      <c r="Q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</row>
    <row r="60" spans="2:57" ht="15">
      <c r="B60" s="18" t="str">
        <f>IF(C60="","",VLOOKUP([1]DATA!W51,'[1]DATA Engine'!$A$3:$H$800,2,FALSE))</f>
        <v/>
      </c>
      <c r="C60" s="19" t="str">
        <f>IFERROR(VLOOKUP([1]DATA!W51,'[1]DATA Engine'!$A$3:$H$800,3,FALSE),"")</f>
        <v/>
      </c>
      <c r="D60" s="20" t="str">
        <f>IFERROR(VLOOKUP([1]DATA!W51,'[1]DATA Engine'!$A$3:$H$800,4,FALSE),"")</f>
        <v/>
      </c>
      <c r="E60" s="20" t="str">
        <f>IFERROR(VLOOKUP([1]DATA!W51,'[1]DATA Engine'!$A$3:$H$800,5,FALSE),"")</f>
        <v/>
      </c>
      <c r="F60" s="18" t="str">
        <f>IFERROR(VLOOKUP([1]DATA!W51,'[1]DATA Engine'!$A$3:$H$800,6,FALSE),"")</f>
        <v/>
      </c>
      <c r="G60" s="18" t="str">
        <f>IFERROR(VLOOKUP([1]DATA!W51,'[1]DATA Engine'!$A$3:$H$800,7,FALSE),"")</f>
        <v/>
      </c>
      <c r="H60" s="18" t="str">
        <f>IFERROR(IF(ISNUMBER(SEARCH("GOW",VLOOKUP([1]DATA!W51,'[1]DATA Engine'!$A$3:$H$800,8,FALSE))),"GOW",""),"")</f>
        <v/>
      </c>
      <c r="I60" s="26"/>
      <c r="J60" s="24"/>
      <c r="K60" s="24"/>
      <c r="L60" s="24"/>
      <c r="M60" s="24"/>
      <c r="N60" s="24"/>
      <c r="O60" s="22"/>
      <c r="P60" s="25"/>
      <c r="Q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</row>
    <row r="61" spans="2:57" ht="15">
      <c r="B61" s="18" t="str">
        <f>IF(C61="","",VLOOKUP([1]DATA!W52,'[1]DATA Engine'!$A$3:$H$800,2,FALSE))</f>
        <v/>
      </c>
      <c r="C61" s="19" t="str">
        <f>IFERROR(VLOOKUP([1]DATA!W52,'[1]DATA Engine'!$A$3:$H$800,3,FALSE),"")</f>
        <v/>
      </c>
      <c r="D61" s="20" t="str">
        <f>IFERROR(VLOOKUP([1]DATA!W52,'[1]DATA Engine'!$A$3:$H$800,4,FALSE),"")</f>
        <v/>
      </c>
      <c r="E61" s="20" t="str">
        <f>IFERROR(VLOOKUP([1]DATA!W52,'[1]DATA Engine'!$A$3:$H$800,5,FALSE),"")</f>
        <v/>
      </c>
      <c r="F61" s="18" t="str">
        <f>IFERROR(VLOOKUP([1]DATA!W52,'[1]DATA Engine'!$A$3:$H$800,6,FALSE),"")</f>
        <v/>
      </c>
      <c r="G61" s="18" t="str">
        <f>IFERROR(VLOOKUP([1]DATA!W52,'[1]DATA Engine'!$A$3:$H$800,7,FALSE),"")</f>
        <v/>
      </c>
      <c r="H61" s="18" t="str">
        <f>IFERROR(IF(ISNUMBER(SEARCH("GOW",VLOOKUP([1]DATA!W52,'[1]DATA Engine'!$A$3:$H$800,8,FALSE))),"GOW",""),"")</f>
        <v/>
      </c>
      <c r="I61" s="26"/>
      <c r="J61" s="24"/>
      <c r="K61" s="24"/>
      <c r="L61" s="24"/>
      <c r="M61" s="24"/>
      <c r="N61" s="24"/>
      <c r="O61" s="22"/>
      <c r="P61" s="25"/>
      <c r="Q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</row>
    <row r="62" spans="2:57" ht="15">
      <c r="B62" s="18" t="str">
        <f>IF(C62="","",VLOOKUP([1]DATA!W53,'[1]DATA Engine'!$A$3:$H$800,2,FALSE))</f>
        <v/>
      </c>
      <c r="C62" s="19" t="str">
        <f>IFERROR(VLOOKUP([1]DATA!W53,'[1]DATA Engine'!$A$3:$H$800,3,FALSE),"")</f>
        <v/>
      </c>
      <c r="D62" s="20" t="str">
        <f>IFERROR(VLOOKUP([1]DATA!W53,'[1]DATA Engine'!$A$3:$H$800,4,FALSE),"")</f>
        <v/>
      </c>
      <c r="E62" s="20" t="str">
        <f>IFERROR(VLOOKUP([1]DATA!W53,'[1]DATA Engine'!$A$3:$H$800,5,FALSE),"")</f>
        <v/>
      </c>
      <c r="F62" s="18" t="str">
        <f>IFERROR(VLOOKUP([1]DATA!W53,'[1]DATA Engine'!$A$3:$H$800,6,FALSE),"")</f>
        <v/>
      </c>
      <c r="G62" s="18" t="str">
        <f>IFERROR(VLOOKUP([1]DATA!W53,'[1]DATA Engine'!$A$3:$H$800,7,FALSE),"")</f>
        <v/>
      </c>
      <c r="H62" s="18" t="str">
        <f>IFERROR(IF(ISNUMBER(SEARCH("GOW",VLOOKUP([1]DATA!W53,'[1]DATA Engine'!$A$3:$H$800,8,FALSE))),"GOW",""),"")</f>
        <v/>
      </c>
      <c r="I62" s="26"/>
      <c r="J62" s="24"/>
      <c r="K62" s="24"/>
      <c r="L62" s="24"/>
      <c r="M62" s="24"/>
      <c r="N62" s="24"/>
      <c r="O62" s="22"/>
      <c r="P62" s="25"/>
      <c r="Q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</row>
    <row r="63" spans="2:57" ht="15">
      <c r="B63" s="18" t="str">
        <f>IF(C63="","",VLOOKUP([1]DATA!W54,'[1]DATA Engine'!$A$3:$H$800,2,FALSE))</f>
        <v/>
      </c>
      <c r="C63" s="19" t="str">
        <f>IFERROR(VLOOKUP([1]DATA!W54,'[1]DATA Engine'!$A$3:$H$800,3,FALSE),"")</f>
        <v/>
      </c>
      <c r="D63" s="20" t="str">
        <f>IFERROR(VLOOKUP([1]DATA!W54,'[1]DATA Engine'!$A$3:$H$800,4,FALSE),"")</f>
        <v/>
      </c>
      <c r="E63" s="20" t="str">
        <f>IFERROR(VLOOKUP([1]DATA!W54,'[1]DATA Engine'!$A$3:$H$800,5,FALSE),"")</f>
        <v/>
      </c>
      <c r="F63" s="18" t="str">
        <f>IFERROR(VLOOKUP([1]DATA!W54,'[1]DATA Engine'!$A$3:$H$800,6,FALSE),"")</f>
        <v/>
      </c>
      <c r="G63" s="18" t="str">
        <f>IFERROR(VLOOKUP([1]DATA!W54,'[1]DATA Engine'!$A$3:$H$800,7,FALSE),"")</f>
        <v/>
      </c>
      <c r="H63" s="18" t="str">
        <f>IFERROR(IF(ISNUMBER(SEARCH("GOW",VLOOKUP([1]DATA!W54,'[1]DATA Engine'!$A$3:$H$800,8,FALSE))),"GOW",""),"")</f>
        <v/>
      </c>
      <c r="I63" s="26"/>
      <c r="J63" s="24"/>
      <c r="K63" s="24"/>
      <c r="L63" s="24"/>
      <c r="M63" s="24"/>
      <c r="N63" s="24"/>
      <c r="O63" s="22"/>
      <c r="P63" s="25"/>
      <c r="Q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</row>
    <row r="64" spans="2:57" ht="15">
      <c r="B64" s="18" t="str">
        <f>IF(C64="","",VLOOKUP([1]DATA!W55,'[1]DATA Engine'!$A$3:$H$800,2,FALSE))</f>
        <v/>
      </c>
      <c r="C64" s="19" t="str">
        <f>IFERROR(VLOOKUP([1]DATA!W55,'[1]DATA Engine'!$A$3:$H$800,3,FALSE),"")</f>
        <v/>
      </c>
      <c r="D64" s="20" t="str">
        <f>IFERROR(VLOOKUP([1]DATA!W55,'[1]DATA Engine'!$A$3:$H$800,4,FALSE),"")</f>
        <v/>
      </c>
      <c r="E64" s="20" t="str">
        <f>IFERROR(VLOOKUP([1]DATA!W55,'[1]DATA Engine'!$A$3:$H$800,5,FALSE),"")</f>
        <v/>
      </c>
      <c r="F64" s="18" t="str">
        <f>IFERROR(VLOOKUP([1]DATA!W55,'[1]DATA Engine'!$A$3:$H$800,6,FALSE),"")</f>
        <v/>
      </c>
      <c r="G64" s="18" t="str">
        <f>IFERROR(VLOOKUP([1]DATA!W55,'[1]DATA Engine'!$A$3:$H$800,7,FALSE),"")</f>
        <v/>
      </c>
      <c r="H64" s="18" t="str">
        <f>IFERROR(IF(ISNUMBER(SEARCH("GOW",VLOOKUP([1]DATA!W55,'[1]DATA Engine'!$A$3:$H$800,8,FALSE))),"GOW",""),"")</f>
        <v/>
      </c>
      <c r="I64" s="26"/>
      <c r="J64" s="24"/>
      <c r="K64" s="24"/>
      <c r="L64" s="24"/>
      <c r="M64" s="24"/>
      <c r="N64" s="24"/>
      <c r="O64" s="22"/>
      <c r="P64" s="25"/>
      <c r="Q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</row>
    <row r="65" spans="2:57" ht="15">
      <c r="B65" s="18" t="str">
        <f>IF(C65="","",VLOOKUP([1]DATA!W56,'[1]DATA Engine'!$A$3:$H$800,2,FALSE))</f>
        <v/>
      </c>
      <c r="C65" s="19" t="str">
        <f>IFERROR(VLOOKUP([1]DATA!W56,'[1]DATA Engine'!$A$3:$H$800,3,FALSE),"")</f>
        <v/>
      </c>
      <c r="D65" s="20" t="str">
        <f>IFERROR(VLOOKUP([1]DATA!W56,'[1]DATA Engine'!$A$3:$H$800,4,FALSE),"")</f>
        <v/>
      </c>
      <c r="E65" s="20" t="str">
        <f>IFERROR(VLOOKUP([1]DATA!W56,'[1]DATA Engine'!$A$3:$H$800,5,FALSE),"")</f>
        <v/>
      </c>
      <c r="F65" s="18" t="str">
        <f>IFERROR(VLOOKUP([1]DATA!W56,'[1]DATA Engine'!$A$3:$H$800,6,FALSE),"")</f>
        <v/>
      </c>
      <c r="G65" s="18" t="str">
        <f>IFERROR(VLOOKUP([1]DATA!W56,'[1]DATA Engine'!$A$3:$H$800,7,FALSE),"")</f>
        <v/>
      </c>
      <c r="H65" s="18" t="str">
        <f>IFERROR(IF(ISNUMBER(SEARCH("GOW",VLOOKUP([1]DATA!W56,'[1]DATA Engine'!$A$3:$H$800,8,FALSE))),"GOW",""),"")</f>
        <v/>
      </c>
      <c r="I65" s="26"/>
      <c r="J65" s="24"/>
      <c r="K65" s="24"/>
      <c r="L65" s="24"/>
      <c r="M65" s="24"/>
      <c r="N65" s="24"/>
      <c r="O65" s="22"/>
      <c r="P65" s="25"/>
      <c r="Q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</row>
    <row r="66" spans="2:57" ht="15">
      <c r="B66" s="18" t="str">
        <f>IF(C66="","",VLOOKUP([1]DATA!W57,'[1]DATA Engine'!$A$3:$H$800,2,FALSE))</f>
        <v/>
      </c>
      <c r="C66" s="19" t="str">
        <f>IFERROR(VLOOKUP([1]DATA!W57,'[1]DATA Engine'!$A$3:$H$800,3,FALSE),"")</f>
        <v/>
      </c>
      <c r="D66" s="20" t="str">
        <f>IFERROR(VLOOKUP([1]DATA!W57,'[1]DATA Engine'!$A$3:$H$800,4,FALSE),"")</f>
        <v/>
      </c>
      <c r="E66" s="20" t="str">
        <f>IFERROR(VLOOKUP([1]DATA!W57,'[1]DATA Engine'!$A$3:$H$800,5,FALSE),"")</f>
        <v/>
      </c>
      <c r="F66" s="18" t="str">
        <f>IFERROR(VLOOKUP([1]DATA!W57,'[1]DATA Engine'!$A$3:$H$800,6,FALSE),"")</f>
        <v/>
      </c>
      <c r="G66" s="18" t="str">
        <f>IFERROR(VLOOKUP([1]DATA!W57,'[1]DATA Engine'!$A$3:$H$800,7,FALSE),"")</f>
        <v/>
      </c>
      <c r="H66" s="18" t="str">
        <f>IFERROR(IF(ISNUMBER(SEARCH("GOW",VLOOKUP([1]DATA!W57,'[1]DATA Engine'!$A$3:$H$800,8,FALSE))),"GOW",""),"")</f>
        <v/>
      </c>
      <c r="I66" s="26"/>
      <c r="J66" s="24"/>
      <c r="K66" s="24"/>
      <c r="L66" s="24"/>
      <c r="M66" s="24"/>
      <c r="N66" s="24"/>
      <c r="O66" s="22"/>
      <c r="P66" s="25"/>
      <c r="Q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</row>
    <row r="67" spans="2:57" ht="15">
      <c r="B67" s="18" t="str">
        <f>IF(C67="","",VLOOKUP([1]DATA!W58,'[1]DATA Engine'!$A$3:$H$800,2,FALSE))</f>
        <v/>
      </c>
      <c r="C67" s="19" t="str">
        <f>IFERROR(VLOOKUP([1]DATA!W58,'[1]DATA Engine'!$A$3:$H$800,3,FALSE),"")</f>
        <v/>
      </c>
      <c r="D67" s="20" t="str">
        <f>IFERROR(VLOOKUP([1]DATA!W58,'[1]DATA Engine'!$A$3:$H$800,4,FALSE),"")</f>
        <v/>
      </c>
      <c r="E67" s="20" t="str">
        <f>IFERROR(VLOOKUP([1]DATA!W58,'[1]DATA Engine'!$A$3:$H$800,5,FALSE),"")</f>
        <v/>
      </c>
      <c r="F67" s="18" t="str">
        <f>IFERROR(VLOOKUP([1]DATA!W58,'[1]DATA Engine'!$A$3:$H$800,6,FALSE),"")</f>
        <v/>
      </c>
      <c r="G67" s="18" t="str">
        <f>IFERROR(VLOOKUP([1]DATA!W58,'[1]DATA Engine'!$A$3:$H$800,7,FALSE),"")</f>
        <v/>
      </c>
      <c r="H67" s="18" t="str">
        <f>IFERROR(IF(ISNUMBER(SEARCH("GOW",VLOOKUP([1]DATA!W58,'[1]DATA Engine'!$A$3:$H$800,8,FALSE))),"GOW",""),"")</f>
        <v/>
      </c>
      <c r="I67" s="26"/>
      <c r="J67" s="24"/>
      <c r="K67" s="24"/>
      <c r="L67" s="24"/>
      <c r="M67" s="24"/>
      <c r="N67" s="24"/>
      <c r="O67" s="22"/>
      <c r="P67" s="25"/>
      <c r="Q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</row>
    <row r="68" spans="2:57" ht="15">
      <c r="B68" s="18" t="str">
        <f>IF(C68="","",VLOOKUP([1]DATA!W59,'[1]DATA Engine'!$A$3:$H$800,2,FALSE))</f>
        <v/>
      </c>
      <c r="C68" s="19" t="str">
        <f>IFERROR(VLOOKUP([1]DATA!W59,'[1]DATA Engine'!$A$3:$H$800,3,FALSE),"")</f>
        <v/>
      </c>
      <c r="D68" s="20" t="str">
        <f>IFERROR(VLOOKUP([1]DATA!W59,'[1]DATA Engine'!$A$3:$H$800,4,FALSE),"")</f>
        <v/>
      </c>
      <c r="E68" s="20" t="str">
        <f>IFERROR(VLOOKUP([1]DATA!W59,'[1]DATA Engine'!$A$3:$H$800,5,FALSE),"")</f>
        <v/>
      </c>
      <c r="F68" s="18" t="str">
        <f>IFERROR(VLOOKUP([1]DATA!W59,'[1]DATA Engine'!$A$3:$H$800,6,FALSE),"")</f>
        <v/>
      </c>
      <c r="G68" s="18" t="str">
        <f>IFERROR(VLOOKUP([1]DATA!W59,'[1]DATA Engine'!$A$3:$H$800,7,FALSE),"")</f>
        <v/>
      </c>
      <c r="H68" s="18" t="str">
        <f>IFERROR(IF(ISNUMBER(SEARCH("GOW",VLOOKUP([1]DATA!W59,'[1]DATA Engine'!$A$3:$H$800,8,FALSE))),"GOW",""),"")</f>
        <v/>
      </c>
      <c r="I68" s="26"/>
      <c r="J68" s="24"/>
      <c r="K68" s="24"/>
      <c r="L68" s="24"/>
      <c r="M68" s="24"/>
      <c r="N68" s="24"/>
      <c r="O68" s="22"/>
      <c r="P68" s="25"/>
      <c r="Q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</row>
    <row r="69" spans="2:57" ht="15">
      <c r="B69" s="18" t="str">
        <f>IF(C69="","",VLOOKUP([1]DATA!W60,'[1]DATA Engine'!$A$3:$H$800,2,FALSE))</f>
        <v/>
      </c>
      <c r="C69" s="19" t="str">
        <f>IFERROR(VLOOKUP([1]DATA!W60,'[1]DATA Engine'!$A$3:$H$800,3,FALSE),"")</f>
        <v/>
      </c>
      <c r="D69" s="20" t="str">
        <f>IFERROR(VLOOKUP([1]DATA!W60,'[1]DATA Engine'!$A$3:$H$800,4,FALSE),"")</f>
        <v/>
      </c>
      <c r="E69" s="20" t="str">
        <f>IFERROR(VLOOKUP([1]DATA!W60,'[1]DATA Engine'!$A$3:$H$800,5,FALSE),"")</f>
        <v/>
      </c>
      <c r="F69" s="18" t="str">
        <f>IFERROR(VLOOKUP([1]DATA!W60,'[1]DATA Engine'!$A$3:$H$800,6,FALSE),"")</f>
        <v/>
      </c>
      <c r="G69" s="18" t="str">
        <f>IFERROR(VLOOKUP([1]DATA!W60,'[1]DATA Engine'!$A$3:$H$800,7,FALSE),"")</f>
        <v/>
      </c>
      <c r="H69" s="18" t="str">
        <f>IFERROR(IF(ISNUMBER(SEARCH("GOW",VLOOKUP([1]DATA!W60,'[1]DATA Engine'!$A$3:$H$800,8,FALSE))),"GOW",""),"")</f>
        <v/>
      </c>
      <c r="I69" s="26"/>
      <c r="J69" s="24"/>
      <c r="K69" s="24"/>
      <c r="L69" s="24"/>
      <c r="M69" s="24"/>
      <c r="N69" s="24"/>
      <c r="O69" s="22"/>
      <c r="P69" s="25"/>
      <c r="Q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</row>
    <row r="70" spans="2:57" ht="15">
      <c r="B70" s="18" t="str">
        <f>IF(C70="","",VLOOKUP([1]DATA!W61,'[1]DATA Engine'!$A$3:$H$800,2,FALSE))</f>
        <v/>
      </c>
      <c r="C70" s="19" t="str">
        <f>IFERROR(VLOOKUP([1]DATA!W61,'[1]DATA Engine'!$A$3:$H$800,3,FALSE),"")</f>
        <v/>
      </c>
      <c r="D70" s="20" t="str">
        <f>IFERROR(VLOOKUP([1]DATA!W61,'[1]DATA Engine'!$A$3:$H$800,4,FALSE),"")</f>
        <v/>
      </c>
      <c r="E70" s="20" t="str">
        <f>IFERROR(VLOOKUP([1]DATA!W61,'[1]DATA Engine'!$A$3:$H$800,5,FALSE),"")</f>
        <v/>
      </c>
      <c r="F70" s="18" t="str">
        <f>IFERROR(VLOOKUP([1]DATA!W61,'[1]DATA Engine'!$A$3:$H$800,6,FALSE),"")</f>
        <v/>
      </c>
      <c r="G70" s="18" t="str">
        <f>IFERROR(VLOOKUP([1]DATA!W61,'[1]DATA Engine'!$A$3:$H$800,7,FALSE),"")</f>
        <v/>
      </c>
      <c r="H70" s="18" t="str">
        <f>IFERROR(IF(ISNUMBER(SEARCH("GOW",VLOOKUP([1]DATA!W61,'[1]DATA Engine'!$A$3:$H$800,8,FALSE))),"GOW",""),"")</f>
        <v/>
      </c>
      <c r="I70" s="26"/>
      <c r="J70" s="24"/>
      <c r="K70" s="24"/>
      <c r="L70" s="24"/>
      <c r="M70" s="24"/>
      <c r="N70" s="24"/>
      <c r="O70" s="22"/>
      <c r="P70" s="25"/>
      <c r="Q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</row>
    <row r="71" spans="2:57" ht="15">
      <c r="B71" s="18" t="str">
        <f>IF(C71="","",VLOOKUP([1]DATA!W62,'[1]DATA Engine'!$A$3:$H$800,2,FALSE))</f>
        <v/>
      </c>
      <c r="C71" s="19" t="str">
        <f>IFERROR(VLOOKUP([1]DATA!W62,'[1]DATA Engine'!$A$3:$H$800,3,FALSE),"")</f>
        <v/>
      </c>
      <c r="D71" s="20" t="str">
        <f>IFERROR(VLOOKUP([1]DATA!W62,'[1]DATA Engine'!$A$3:$H$800,4,FALSE),"")</f>
        <v/>
      </c>
      <c r="E71" s="20" t="str">
        <f>IFERROR(VLOOKUP([1]DATA!W62,'[1]DATA Engine'!$A$3:$H$800,5,FALSE),"")</f>
        <v/>
      </c>
      <c r="F71" s="18" t="str">
        <f>IFERROR(VLOOKUP([1]DATA!W62,'[1]DATA Engine'!$A$3:$H$800,6,FALSE),"")</f>
        <v/>
      </c>
      <c r="G71" s="18" t="str">
        <f>IFERROR(VLOOKUP([1]DATA!W62,'[1]DATA Engine'!$A$3:$H$800,7,FALSE),"")</f>
        <v/>
      </c>
      <c r="H71" s="18" t="str">
        <f>IFERROR(IF(ISNUMBER(SEARCH("GOW",VLOOKUP([1]DATA!W62,'[1]DATA Engine'!$A$3:$H$800,8,FALSE))),"GOW",""),"")</f>
        <v/>
      </c>
      <c r="I71" s="26"/>
      <c r="J71" s="24"/>
      <c r="K71" s="24"/>
      <c r="L71" s="24"/>
      <c r="M71" s="24"/>
      <c r="N71" s="24"/>
      <c r="O71" s="22"/>
      <c r="P71" s="25"/>
      <c r="Q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</row>
    <row r="72" spans="2:57" ht="15">
      <c r="B72" s="18" t="str">
        <f>IF(C72="","",VLOOKUP([1]DATA!W63,'[1]DATA Engine'!$A$3:$H$800,2,FALSE))</f>
        <v/>
      </c>
      <c r="C72" s="19" t="str">
        <f>IFERROR(VLOOKUP([1]DATA!W63,'[1]DATA Engine'!$A$3:$H$800,3,FALSE),"")</f>
        <v/>
      </c>
      <c r="D72" s="20" t="str">
        <f>IFERROR(VLOOKUP([1]DATA!W63,'[1]DATA Engine'!$A$3:$H$800,4,FALSE),"")</f>
        <v/>
      </c>
      <c r="E72" s="20" t="str">
        <f>IFERROR(VLOOKUP([1]DATA!W63,'[1]DATA Engine'!$A$3:$H$800,5,FALSE),"")</f>
        <v/>
      </c>
      <c r="F72" s="18" t="str">
        <f>IFERROR(VLOOKUP([1]DATA!W63,'[1]DATA Engine'!$A$3:$H$800,6,FALSE),"")</f>
        <v/>
      </c>
      <c r="G72" s="18" t="str">
        <f>IFERROR(VLOOKUP([1]DATA!W63,'[1]DATA Engine'!$A$3:$H$800,7,FALSE),"")</f>
        <v/>
      </c>
      <c r="H72" s="18" t="str">
        <f>IFERROR(IF(ISNUMBER(SEARCH("GOW",VLOOKUP([1]DATA!W63,'[1]DATA Engine'!$A$3:$H$800,8,FALSE))),"GOW",""),"")</f>
        <v/>
      </c>
      <c r="I72" s="26"/>
      <c r="J72" s="24"/>
      <c r="K72" s="24"/>
      <c r="L72" s="24"/>
      <c r="M72" s="24"/>
      <c r="N72" s="24"/>
      <c r="O72" s="22"/>
      <c r="P72" s="25"/>
      <c r="Q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</row>
    <row r="73" spans="2:57" ht="15">
      <c r="B73" s="18" t="str">
        <f>IF(C73="","",VLOOKUP([1]DATA!W64,'[1]DATA Engine'!$A$3:$H$800,2,FALSE))</f>
        <v/>
      </c>
      <c r="C73" s="19" t="str">
        <f>IFERROR(VLOOKUP([1]DATA!W64,'[1]DATA Engine'!$A$3:$H$800,3,FALSE),"")</f>
        <v/>
      </c>
      <c r="D73" s="20" t="str">
        <f>IFERROR(VLOOKUP([1]DATA!W64,'[1]DATA Engine'!$A$3:$H$800,4,FALSE),"")</f>
        <v/>
      </c>
      <c r="E73" s="20" t="str">
        <f>IFERROR(VLOOKUP([1]DATA!W64,'[1]DATA Engine'!$A$3:$H$800,5,FALSE),"")</f>
        <v/>
      </c>
      <c r="F73" s="18" t="str">
        <f>IFERROR(VLOOKUP([1]DATA!W64,'[1]DATA Engine'!$A$3:$H$800,6,FALSE),"")</f>
        <v/>
      </c>
      <c r="G73" s="18" t="str">
        <f>IFERROR(VLOOKUP([1]DATA!W64,'[1]DATA Engine'!$A$3:$H$800,7,FALSE),"")</f>
        <v/>
      </c>
      <c r="H73" s="18" t="str">
        <f>IFERROR(IF(ISNUMBER(SEARCH("GOW",VLOOKUP([1]DATA!W64,'[1]DATA Engine'!$A$3:$H$800,8,FALSE))),"GOW",""),"")</f>
        <v/>
      </c>
      <c r="I73" s="26"/>
      <c r="J73" s="24"/>
      <c r="K73" s="24"/>
      <c r="L73" s="24"/>
      <c r="M73" s="24"/>
      <c r="N73" s="24"/>
      <c r="O73" s="22"/>
      <c r="P73" s="25"/>
      <c r="Q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</row>
    <row r="74" spans="2:57" ht="15">
      <c r="B74" s="18" t="str">
        <f>IF(C74="","",VLOOKUP([1]DATA!W65,'[1]DATA Engine'!$A$3:$H$800,2,FALSE))</f>
        <v/>
      </c>
      <c r="C74" s="19" t="str">
        <f>IFERROR(VLOOKUP([1]DATA!W65,'[1]DATA Engine'!$A$3:$H$800,3,FALSE),"")</f>
        <v/>
      </c>
      <c r="D74" s="20" t="str">
        <f>IFERROR(VLOOKUP([1]DATA!W65,'[1]DATA Engine'!$A$3:$H$800,4,FALSE),"")</f>
        <v/>
      </c>
      <c r="E74" s="20" t="str">
        <f>IFERROR(VLOOKUP([1]DATA!W65,'[1]DATA Engine'!$A$3:$H$800,5,FALSE),"")</f>
        <v/>
      </c>
      <c r="F74" s="18" t="str">
        <f>IFERROR(VLOOKUP([1]DATA!W65,'[1]DATA Engine'!$A$3:$H$800,6,FALSE),"")</f>
        <v/>
      </c>
      <c r="G74" s="18" t="str">
        <f>IFERROR(VLOOKUP([1]DATA!W65,'[1]DATA Engine'!$A$3:$H$800,7,FALSE),"")</f>
        <v/>
      </c>
      <c r="H74" s="18" t="str">
        <f>IFERROR(IF(ISNUMBER(SEARCH("GOW",VLOOKUP([1]DATA!W65,'[1]DATA Engine'!$A$3:$H$800,8,FALSE))),"GOW",""),"")</f>
        <v/>
      </c>
      <c r="I74" s="26"/>
      <c r="J74" s="24"/>
      <c r="K74" s="24"/>
      <c r="L74" s="24"/>
      <c r="M74" s="24"/>
      <c r="N74" s="24"/>
      <c r="O74" s="22"/>
      <c r="P74" s="25"/>
      <c r="Q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</row>
    <row r="75" spans="2:57" ht="15">
      <c r="B75" s="18" t="str">
        <f>IF(C75="","",VLOOKUP([1]DATA!W66,'[1]DATA Engine'!$A$3:$H$800,2,FALSE))</f>
        <v/>
      </c>
      <c r="C75" s="19" t="str">
        <f>IFERROR(VLOOKUP([1]DATA!W66,'[1]DATA Engine'!$A$3:$H$800,3,FALSE),"")</f>
        <v/>
      </c>
      <c r="D75" s="20" t="str">
        <f>IFERROR(VLOOKUP([1]DATA!W66,'[1]DATA Engine'!$A$3:$H$800,4,FALSE),"")</f>
        <v/>
      </c>
      <c r="E75" s="20" t="str">
        <f>IFERROR(VLOOKUP([1]DATA!W66,'[1]DATA Engine'!$A$3:$H$800,5,FALSE),"")</f>
        <v/>
      </c>
      <c r="F75" s="18" t="str">
        <f>IFERROR(VLOOKUP([1]DATA!W66,'[1]DATA Engine'!$A$3:$H$800,6,FALSE),"")</f>
        <v/>
      </c>
      <c r="G75" s="18" t="str">
        <f>IFERROR(VLOOKUP([1]DATA!W66,'[1]DATA Engine'!$A$3:$H$800,7,FALSE),"")</f>
        <v/>
      </c>
      <c r="H75" s="18" t="str">
        <f>IFERROR(IF(ISNUMBER(SEARCH("GOW",VLOOKUP([1]DATA!W66,'[1]DATA Engine'!$A$3:$H$800,8,FALSE))),"GOW",""),"")</f>
        <v/>
      </c>
      <c r="I75" s="26"/>
      <c r="J75" s="24"/>
      <c r="K75" s="24"/>
      <c r="L75" s="24"/>
      <c r="M75" s="24"/>
      <c r="N75" s="24"/>
      <c r="O75" s="22"/>
      <c r="P75" s="25"/>
      <c r="Q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</row>
    <row r="76" spans="2:57" ht="15">
      <c r="B76" s="18" t="str">
        <f>IF(C76="","",VLOOKUP([1]DATA!W67,'[1]DATA Engine'!$A$3:$H$800,2,FALSE))</f>
        <v/>
      </c>
      <c r="C76" s="19" t="str">
        <f>IFERROR(VLOOKUP([1]DATA!W67,'[1]DATA Engine'!$A$3:$H$800,3,FALSE),"")</f>
        <v/>
      </c>
      <c r="D76" s="20" t="str">
        <f>IFERROR(VLOOKUP([1]DATA!W67,'[1]DATA Engine'!$A$3:$H$800,4,FALSE),"")</f>
        <v/>
      </c>
      <c r="E76" s="20" t="str">
        <f>IFERROR(VLOOKUP([1]DATA!W67,'[1]DATA Engine'!$A$3:$H$800,5,FALSE),"")</f>
        <v/>
      </c>
      <c r="F76" s="18" t="str">
        <f>IFERROR(VLOOKUP([1]DATA!W67,'[1]DATA Engine'!$A$3:$H$800,6,FALSE),"")</f>
        <v/>
      </c>
      <c r="G76" s="18" t="str">
        <f>IFERROR(VLOOKUP([1]DATA!W67,'[1]DATA Engine'!$A$3:$H$800,7,FALSE),"")</f>
        <v/>
      </c>
      <c r="H76" s="18" t="str">
        <f>IFERROR(IF(ISNUMBER(SEARCH("GOW",VLOOKUP([1]DATA!W67,'[1]DATA Engine'!$A$3:$H$800,8,FALSE))),"GOW",""),"")</f>
        <v/>
      </c>
      <c r="I76" s="26"/>
      <c r="J76" s="24"/>
      <c r="K76" s="24"/>
      <c r="L76" s="24"/>
      <c r="M76" s="24"/>
      <c r="N76" s="24"/>
      <c r="O76" s="22"/>
      <c r="P76" s="25"/>
      <c r="Q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</row>
    <row r="77" spans="2:57" ht="15">
      <c r="B77" s="18" t="str">
        <f>IF(C77="","",VLOOKUP([1]DATA!W68,'[1]DATA Engine'!$A$3:$H$800,2,FALSE))</f>
        <v/>
      </c>
      <c r="C77" s="19" t="str">
        <f>IFERROR(VLOOKUP([1]DATA!W68,'[1]DATA Engine'!$A$3:$H$800,3,FALSE),"")</f>
        <v/>
      </c>
      <c r="D77" s="20" t="str">
        <f>IFERROR(VLOOKUP([1]DATA!W68,'[1]DATA Engine'!$A$3:$H$800,4,FALSE),"")</f>
        <v/>
      </c>
      <c r="E77" s="20" t="str">
        <f>IFERROR(VLOOKUP([1]DATA!W68,'[1]DATA Engine'!$A$3:$H$800,5,FALSE),"")</f>
        <v/>
      </c>
      <c r="F77" s="18" t="str">
        <f>IFERROR(VLOOKUP([1]DATA!W68,'[1]DATA Engine'!$A$3:$H$800,6,FALSE),"")</f>
        <v/>
      </c>
      <c r="G77" s="18" t="str">
        <f>IFERROR(VLOOKUP([1]DATA!W68,'[1]DATA Engine'!$A$3:$H$800,7,FALSE),"")</f>
        <v/>
      </c>
      <c r="H77" s="18" t="str">
        <f>IFERROR(IF(ISNUMBER(SEARCH("GOW",VLOOKUP([1]DATA!W68,'[1]DATA Engine'!$A$3:$H$800,8,FALSE))),"GOW",""),"")</f>
        <v/>
      </c>
      <c r="I77" s="26"/>
      <c r="J77" s="24"/>
      <c r="K77" s="24"/>
      <c r="L77" s="24"/>
      <c r="M77" s="24"/>
      <c r="N77" s="24"/>
      <c r="O77" s="22"/>
      <c r="P77" s="25"/>
      <c r="Q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</row>
    <row r="78" spans="2:57" ht="15">
      <c r="B78" s="18" t="str">
        <f>IF(C78="","",VLOOKUP([1]DATA!W69,'[1]DATA Engine'!$A$3:$H$800,2,FALSE))</f>
        <v/>
      </c>
      <c r="C78" s="19" t="str">
        <f>IFERROR(VLOOKUP([1]DATA!W69,'[1]DATA Engine'!$A$3:$H$800,3,FALSE),"")</f>
        <v/>
      </c>
      <c r="D78" s="20" t="str">
        <f>IFERROR(VLOOKUP([1]DATA!W69,'[1]DATA Engine'!$A$3:$H$800,4,FALSE),"")</f>
        <v/>
      </c>
      <c r="E78" s="20" t="str">
        <f>IFERROR(VLOOKUP([1]DATA!W69,'[1]DATA Engine'!$A$3:$H$800,5,FALSE),"")</f>
        <v/>
      </c>
      <c r="F78" s="18" t="str">
        <f>IFERROR(VLOOKUP([1]DATA!W69,'[1]DATA Engine'!$A$3:$H$800,6,FALSE),"")</f>
        <v/>
      </c>
      <c r="G78" s="18" t="str">
        <f>IFERROR(VLOOKUP([1]DATA!W69,'[1]DATA Engine'!$A$3:$H$800,7,FALSE),"")</f>
        <v/>
      </c>
      <c r="H78" s="18" t="str">
        <f>IFERROR(IF(ISNUMBER(SEARCH("GOW",VLOOKUP([1]DATA!W69,'[1]DATA Engine'!$A$3:$H$800,8,FALSE))),"GOW",""),"")</f>
        <v/>
      </c>
      <c r="I78" s="26"/>
      <c r="J78" s="24"/>
      <c r="K78" s="24"/>
      <c r="L78" s="24"/>
      <c r="M78" s="24"/>
      <c r="N78" s="24"/>
      <c r="O78" s="22"/>
      <c r="P78" s="25"/>
      <c r="Q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</row>
    <row r="79" spans="2:57" ht="15">
      <c r="B79" s="18" t="str">
        <f>IF(C79="","",VLOOKUP([1]DATA!W70,'[1]DATA Engine'!$A$3:$H$800,2,FALSE))</f>
        <v/>
      </c>
      <c r="C79" s="19" t="str">
        <f>IFERROR(VLOOKUP([1]DATA!W70,'[1]DATA Engine'!$A$3:$H$800,3,FALSE),"")</f>
        <v/>
      </c>
      <c r="D79" s="20" t="str">
        <f>IFERROR(VLOOKUP([1]DATA!W70,'[1]DATA Engine'!$A$3:$H$800,4,FALSE),"")</f>
        <v/>
      </c>
      <c r="E79" s="20" t="str">
        <f>IFERROR(VLOOKUP([1]DATA!W70,'[1]DATA Engine'!$A$3:$H$800,5,FALSE),"")</f>
        <v/>
      </c>
      <c r="F79" s="18" t="str">
        <f>IFERROR(VLOOKUP([1]DATA!W70,'[1]DATA Engine'!$A$3:$H$800,6,FALSE),"")</f>
        <v/>
      </c>
      <c r="G79" s="18" t="str">
        <f>IFERROR(VLOOKUP([1]DATA!W70,'[1]DATA Engine'!$A$3:$H$800,7,FALSE),"")</f>
        <v/>
      </c>
      <c r="H79" s="18" t="str">
        <f>IFERROR(IF(ISNUMBER(SEARCH("GOW",VLOOKUP([1]DATA!W70,'[1]DATA Engine'!$A$3:$H$800,8,FALSE))),"GOW",""),"")</f>
        <v/>
      </c>
      <c r="I79" s="26"/>
      <c r="J79" s="24"/>
      <c r="K79" s="24"/>
      <c r="L79" s="24"/>
      <c r="M79" s="24"/>
      <c r="N79" s="24"/>
      <c r="O79" s="22"/>
      <c r="P79" s="25"/>
      <c r="Q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</row>
    <row r="80" spans="2:57" ht="15">
      <c r="B80" s="18" t="str">
        <f>IF(C80="","",VLOOKUP([1]DATA!W71,'[1]DATA Engine'!$A$3:$H$800,2,FALSE))</f>
        <v/>
      </c>
      <c r="C80" s="19" t="str">
        <f>IFERROR(VLOOKUP([1]DATA!W71,'[1]DATA Engine'!$A$3:$H$800,3,FALSE),"")</f>
        <v/>
      </c>
      <c r="D80" s="20" t="str">
        <f>IFERROR(VLOOKUP([1]DATA!W71,'[1]DATA Engine'!$A$3:$H$800,4,FALSE),"")</f>
        <v/>
      </c>
      <c r="E80" s="20" t="str">
        <f>IFERROR(VLOOKUP([1]DATA!W71,'[1]DATA Engine'!$A$3:$H$800,5,FALSE),"")</f>
        <v/>
      </c>
      <c r="F80" s="18" t="str">
        <f>IFERROR(VLOOKUP([1]DATA!W71,'[1]DATA Engine'!$A$3:$H$800,6,FALSE),"")</f>
        <v/>
      </c>
      <c r="G80" s="18" t="str">
        <f>IFERROR(VLOOKUP([1]DATA!W71,'[1]DATA Engine'!$A$3:$H$800,7,FALSE),"")</f>
        <v/>
      </c>
      <c r="H80" s="18" t="str">
        <f>IFERROR(IF(ISNUMBER(SEARCH("GOW",VLOOKUP([1]DATA!W71,'[1]DATA Engine'!$A$3:$H$800,8,FALSE))),"GOW",""),"")</f>
        <v/>
      </c>
      <c r="I80" s="26"/>
      <c r="J80" s="24"/>
      <c r="K80" s="24"/>
      <c r="L80" s="24"/>
      <c r="M80" s="24"/>
      <c r="N80" s="24"/>
      <c r="O80" s="22"/>
      <c r="P80" s="25"/>
      <c r="Q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</row>
    <row r="81" spans="2:57" ht="15">
      <c r="B81" s="18" t="str">
        <f>IF(C81="","",VLOOKUP([1]DATA!W72,'[1]DATA Engine'!$A$3:$H$800,2,FALSE))</f>
        <v/>
      </c>
      <c r="C81" s="19" t="str">
        <f>IFERROR(VLOOKUP([1]DATA!W72,'[1]DATA Engine'!$A$3:$H$800,3,FALSE),"")</f>
        <v/>
      </c>
      <c r="D81" s="20" t="str">
        <f>IFERROR(VLOOKUP([1]DATA!W72,'[1]DATA Engine'!$A$3:$H$800,4,FALSE),"")</f>
        <v/>
      </c>
      <c r="E81" s="20" t="str">
        <f>IFERROR(VLOOKUP([1]DATA!W72,'[1]DATA Engine'!$A$3:$H$800,5,FALSE),"")</f>
        <v/>
      </c>
      <c r="F81" s="18" t="str">
        <f>IFERROR(VLOOKUP([1]DATA!W72,'[1]DATA Engine'!$A$3:$H$800,6,FALSE),"")</f>
        <v/>
      </c>
      <c r="G81" s="18" t="str">
        <f>IFERROR(VLOOKUP([1]DATA!W72,'[1]DATA Engine'!$A$3:$H$800,7,FALSE),"")</f>
        <v/>
      </c>
      <c r="H81" s="18" t="str">
        <f>IFERROR(IF(ISNUMBER(SEARCH("GOW",VLOOKUP([1]DATA!W72,'[1]DATA Engine'!$A$3:$H$800,8,FALSE))),"GOW",""),"")</f>
        <v/>
      </c>
      <c r="I81" s="26"/>
      <c r="J81" s="24"/>
      <c r="K81" s="24"/>
      <c r="L81" s="24"/>
      <c r="M81" s="24"/>
      <c r="N81" s="24"/>
      <c r="O81" s="22"/>
      <c r="P81" s="25"/>
      <c r="Q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</row>
    <row r="82" spans="2:57" ht="15">
      <c r="B82" s="18" t="str">
        <f>IF(C82="","",VLOOKUP([1]DATA!W73,'[1]DATA Engine'!$A$3:$H$800,2,FALSE))</f>
        <v/>
      </c>
      <c r="C82" s="19" t="str">
        <f>IFERROR(VLOOKUP([1]DATA!W73,'[1]DATA Engine'!$A$3:$H$800,3,FALSE),"")</f>
        <v/>
      </c>
      <c r="D82" s="20" t="str">
        <f>IFERROR(VLOOKUP([1]DATA!W73,'[1]DATA Engine'!$A$3:$H$800,4,FALSE),"")</f>
        <v/>
      </c>
      <c r="E82" s="20" t="str">
        <f>IFERROR(VLOOKUP([1]DATA!W73,'[1]DATA Engine'!$A$3:$H$800,5,FALSE),"")</f>
        <v/>
      </c>
      <c r="F82" s="18" t="str">
        <f>IFERROR(VLOOKUP([1]DATA!W73,'[1]DATA Engine'!$A$3:$H$800,6,FALSE),"")</f>
        <v/>
      </c>
      <c r="G82" s="18" t="str">
        <f>IFERROR(VLOOKUP([1]DATA!W73,'[1]DATA Engine'!$A$3:$H$800,7,FALSE),"")</f>
        <v/>
      </c>
      <c r="H82" s="18" t="str">
        <f>IFERROR(IF(ISNUMBER(SEARCH("GOW",VLOOKUP([1]DATA!W73,'[1]DATA Engine'!$A$3:$H$800,8,FALSE))),"GOW",""),"")</f>
        <v/>
      </c>
      <c r="I82" s="26"/>
      <c r="J82" s="24"/>
      <c r="K82" s="24"/>
      <c r="L82" s="24"/>
      <c r="M82" s="24"/>
      <c r="N82" s="24"/>
      <c r="O82" s="22"/>
      <c r="P82" s="25"/>
      <c r="Q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</row>
    <row r="83" spans="2:57" ht="15">
      <c r="B83" s="18" t="str">
        <f>IF(C83="","",VLOOKUP([1]DATA!W74,'[1]DATA Engine'!$A$3:$H$800,2,FALSE))</f>
        <v/>
      </c>
      <c r="C83" s="19" t="str">
        <f>IFERROR(VLOOKUP([1]DATA!W74,'[1]DATA Engine'!$A$3:$H$800,3,FALSE),"")</f>
        <v/>
      </c>
      <c r="D83" s="20" t="str">
        <f>IFERROR(VLOOKUP([1]DATA!W74,'[1]DATA Engine'!$A$3:$H$800,4,FALSE),"")</f>
        <v/>
      </c>
      <c r="E83" s="20" t="str">
        <f>IFERROR(VLOOKUP([1]DATA!W74,'[1]DATA Engine'!$A$3:$H$800,5,FALSE),"")</f>
        <v/>
      </c>
      <c r="F83" s="18" t="str">
        <f>IFERROR(VLOOKUP([1]DATA!W74,'[1]DATA Engine'!$A$3:$H$800,6,FALSE),"")</f>
        <v/>
      </c>
      <c r="G83" s="18" t="str">
        <f>IFERROR(VLOOKUP([1]DATA!W74,'[1]DATA Engine'!$A$3:$H$800,7,FALSE),"")</f>
        <v/>
      </c>
      <c r="H83" s="18" t="str">
        <f>IFERROR(IF(ISNUMBER(SEARCH("GOW",VLOOKUP([1]DATA!W74,'[1]DATA Engine'!$A$3:$H$800,8,FALSE))),"GOW",""),"")</f>
        <v/>
      </c>
      <c r="I83" s="26"/>
      <c r="J83" s="24"/>
      <c r="K83" s="24"/>
      <c r="L83" s="24"/>
      <c r="M83" s="24"/>
      <c r="N83" s="24"/>
      <c r="O83" s="22"/>
      <c r="P83" s="25"/>
      <c r="Q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</row>
    <row r="84" spans="2:57" ht="15">
      <c r="B84" s="18" t="str">
        <f>IF(C84="","",VLOOKUP([1]DATA!W75,'[1]DATA Engine'!$A$3:$H$800,2,FALSE))</f>
        <v/>
      </c>
      <c r="C84" s="19" t="str">
        <f>IFERROR(VLOOKUP([1]DATA!W75,'[1]DATA Engine'!$A$3:$H$800,3,FALSE),"")</f>
        <v/>
      </c>
      <c r="D84" s="20" t="str">
        <f>IFERROR(VLOOKUP([1]DATA!W75,'[1]DATA Engine'!$A$3:$H$800,4,FALSE),"")</f>
        <v/>
      </c>
      <c r="E84" s="20" t="str">
        <f>IFERROR(VLOOKUP([1]DATA!W75,'[1]DATA Engine'!$A$3:$H$800,5,FALSE),"")</f>
        <v/>
      </c>
      <c r="F84" s="18" t="str">
        <f>IFERROR(VLOOKUP([1]DATA!W75,'[1]DATA Engine'!$A$3:$H$800,6,FALSE),"")</f>
        <v/>
      </c>
      <c r="G84" s="18" t="str">
        <f>IFERROR(VLOOKUP([1]DATA!W75,'[1]DATA Engine'!$A$3:$H$800,7,FALSE),"")</f>
        <v/>
      </c>
      <c r="H84" s="18" t="str">
        <f>IFERROR(IF(ISNUMBER(SEARCH("GOW",VLOOKUP([1]DATA!W75,'[1]DATA Engine'!$A$3:$H$800,8,FALSE))),"GOW",""),"")</f>
        <v/>
      </c>
      <c r="I84" s="26"/>
      <c r="J84" s="24"/>
      <c r="K84" s="24"/>
      <c r="L84" s="24"/>
      <c r="M84" s="24"/>
      <c r="N84" s="24"/>
      <c r="O84" s="22"/>
      <c r="P84" s="25"/>
      <c r="Q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</row>
    <row r="85" spans="2:57" ht="15">
      <c r="B85" s="18" t="str">
        <f>IF(C85="","",VLOOKUP([1]DATA!W76,'[1]DATA Engine'!$A$3:$H$800,2,FALSE))</f>
        <v/>
      </c>
      <c r="C85" s="19" t="str">
        <f>IFERROR(VLOOKUP([1]DATA!W76,'[1]DATA Engine'!$A$3:$H$800,3,FALSE),"")</f>
        <v/>
      </c>
      <c r="D85" s="20" t="str">
        <f>IFERROR(VLOOKUP([1]DATA!W76,'[1]DATA Engine'!$A$3:$H$800,4,FALSE),"")</f>
        <v/>
      </c>
      <c r="E85" s="20" t="str">
        <f>IFERROR(VLOOKUP([1]DATA!W76,'[1]DATA Engine'!$A$3:$H$800,5,FALSE),"")</f>
        <v/>
      </c>
      <c r="F85" s="18" t="str">
        <f>IFERROR(VLOOKUP([1]DATA!W76,'[1]DATA Engine'!$A$3:$H$800,6,FALSE),"")</f>
        <v/>
      </c>
      <c r="G85" s="18" t="str">
        <f>IFERROR(VLOOKUP([1]DATA!W76,'[1]DATA Engine'!$A$3:$H$800,7,FALSE),"")</f>
        <v/>
      </c>
      <c r="H85" s="18" t="str">
        <f>IFERROR(IF(ISNUMBER(SEARCH("GOW",VLOOKUP([1]DATA!W76,'[1]DATA Engine'!$A$3:$H$800,8,FALSE))),"GOW",""),"")</f>
        <v/>
      </c>
      <c r="I85" s="26"/>
      <c r="J85" s="24"/>
      <c r="K85" s="24"/>
      <c r="L85" s="24"/>
      <c r="M85" s="24"/>
      <c r="N85" s="24"/>
      <c r="O85" s="22"/>
      <c r="P85" s="25"/>
      <c r="Q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</row>
    <row r="86" spans="2:57" ht="15">
      <c r="B86" s="18" t="str">
        <f>IF(C86="","",VLOOKUP([1]DATA!W77,'[1]DATA Engine'!$A$3:$H$800,2,FALSE))</f>
        <v/>
      </c>
      <c r="C86" s="19" t="str">
        <f>IFERROR(VLOOKUP([1]DATA!W77,'[1]DATA Engine'!$A$3:$H$800,3,FALSE),"")</f>
        <v/>
      </c>
      <c r="D86" s="20" t="str">
        <f>IFERROR(VLOOKUP([1]DATA!W77,'[1]DATA Engine'!$A$3:$H$800,4,FALSE),"")</f>
        <v/>
      </c>
      <c r="E86" s="20" t="str">
        <f>IFERROR(VLOOKUP([1]DATA!W77,'[1]DATA Engine'!$A$3:$H$800,5,FALSE),"")</f>
        <v/>
      </c>
      <c r="F86" s="18" t="str">
        <f>IFERROR(VLOOKUP([1]DATA!W77,'[1]DATA Engine'!$A$3:$H$800,6,FALSE),"")</f>
        <v/>
      </c>
      <c r="G86" s="18" t="str">
        <f>IFERROR(VLOOKUP([1]DATA!W77,'[1]DATA Engine'!$A$3:$H$800,7,FALSE),"")</f>
        <v/>
      </c>
      <c r="H86" s="18" t="str">
        <f>IFERROR(IF(ISNUMBER(SEARCH("GOW",VLOOKUP([1]DATA!W77,'[1]DATA Engine'!$A$3:$H$800,8,FALSE))),"GOW",""),"")</f>
        <v/>
      </c>
      <c r="I86" s="26"/>
      <c r="J86" s="24"/>
      <c r="K86" s="24"/>
      <c r="L86" s="24"/>
      <c r="M86" s="24"/>
      <c r="N86" s="24"/>
      <c r="O86" s="22"/>
      <c r="P86" s="25"/>
      <c r="Q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</row>
    <row r="87" spans="2:57" ht="15">
      <c r="B87" s="18" t="str">
        <f>IF(C87="","",VLOOKUP([1]DATA!W78,'[1]DATA Engine'!$A$3:$H$800,2,FALSE))</f>
        <v/>
      </c>
      <c r="C87" s="19" t="str">
        <f>IFERROR(VLOOKUP([1]DATA!W78,'[1]DATA Engine'!$A$3:$H$800,3,FALSE),"")</f>
        <v/>
      </c>
      <c r="D87" s="20" t="str">
        <f>IFERROR(VLOOKUP([1]DATA!W78,'[1]DATA Engine'!$A$3:$H$800,4,FALSE),"")</f>
        <v/>
      </c>
      <c r="E87" s="20" t="str">
        <f>IFERROR(VLOOKUP([1]DATA!W78,'[1]DATA Engine'!$A$3:$H$800,5,FALSE),"")</f>
        <v/>
      </c>
      <c r="F87" s="18" t="str">
        <f>IFERROR(VLOOKUP([1]DATA!W78,'[1]DATA Engine'!$A$3:$H$800,6,FALSE),"")</f>
        <v/>
      </c>
      <c r="G87" s="18" t="str">
        <f>IFERROR(VLOOKUP([1]DATA!W78,'[1]DATA Engine'!$A$3:$H$800,7,FALSE),"")</f>
        <v/>
      </c>
      <c r="H87" s="18" t="str">
        <f>IFERROR(IF(ISNUMBER(SEARCH("GOW",VLOOKUP([1]DATA!W78,'[1]DATA Engine'!$A$3:$H$800,8,FALSE))),"GOW",""),"")</f>
        <v/>
      </c>
      <c r="I87" s="26"/>
      <c r="J87" s="24"/>
      <c r="K87" s="24"/>
      <c r="L87" s="24"/>
      <c r="M87" s="24"/>
      <c r="N87" s="24"/>
      <c r="O87" s="22"/>
      <c r="P87" s="25"/>
      <c r="Q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</row>
    <row r="88" spans="2:57" ht="15">
      <c r="B88" s="18" t="str">
        <f>IF(C88="","",VLOOKUP([1]DATA!W79,'[1]DATA Engine'!$A$3:$H$800,2,FALSE))</f>
        <v/>
      </c>
      <c r="C88" s="19" t="str">
        <f>IFERROR(VLOOKUP([1]DATA!W79,'[1]DATA Engine'!$A$3:$H$800,3,FALSE),"")</f>
        <v/>
      </c>
      <c r="D88" s="20" t="str">
        <f>IFERROR(VLOOKUP([1]DATA!W79,'[1]DATA Engine'!$A$3:$H$800,4,FALSE),"")</f>
        <v/>
      </c>
      <c r="E88" s="20" t="str">
        <f>IFERROR(VLOOKUP([1]DATA!W79,'[1]DATA Engine'!$A$3:$H$800,5,FALSE),"")</f>
        <v/>
      </c>
      <c r="F88" s="18" t="str">
        <f>IFERROR(VLOOKUP([1]DATA!W79,'[1]DATA Engine'!$A$3:$H$800,6,FALSE),"")</f>
        <v/>
      </c>
      <c r="G88" s="18" t="str">
        <f>IFERROR(VLOOKUP([1]DATA!W79,'[1]DATA Engine'!$A$3:$H$800,7,FALSE),"")</f>
        <v/>
      </c>
      <c r="H88" s="18" t="str">
        <f>IFERROR(IF(ISNUMBER(SEARCH("GOW",VLOOKUP([1]DATA!W79,'[1]DATA Engine'!$A$3:$H$800,8,FALSE))),"GOW",""),"")</f>
        <v/>
      </c>
      <c r="I88" s="26"/>
      <c r="J88" s="24"/>
      <c r="K88" s="24"/>
      <c r="L88" s="24"/>
      <c r="M88" s="24"/>
      <c r="N88" s="24"/>
      <c r="O88" s="22"/>
      <c r="P88" s="25"/>
      <c r="Q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</row>
    <row r="89" spans="2:57" ht="15">
      <c r="B89" s="18" t="str">
        <f>IF(C89="","",VLOOKUP([1]DATA!W80,'[1]DATA Engine'!$A$3:$H$800,2,FALSE))</f>
        <v/>
      </c>
      <c r="C89" s="19" t="str">
        <f>IFERROR(VLOOKUP([1]DATA!W80,'[1]DATA Engine'!$A$3:$H$800,3,FALSE),"")</f>
        <v/>
      </c>
      <c r="D89" s="20" t="str">
        <f>IFERROR(VLOOKUP([1]DATA!W80,'[1]DATA Engine'!$A$3:$H$800,4,FALSE),"")</f>
        <v/>
      </c>
      <c r="E89" s="20" t="str">
        <f>IFERROR(VLOOKUP([1]DATA!W80,'[1]DATA Engine'!$A$3:$H$800,5,FALSE),"")</f>
        <v/>
      </c>
      <c r="F89" s="18" t="str">
        <f>IFERROR(VLOOKUP([1]DATA!W80,'[1]DATA Engine'!$A$3:$H$800,6,FALSE),"")</f>
        <v/>
      </c>
      <c r="G89" s="18" t="str">
        <f>IFERROR(VLOOKUP([1]DATA!W80,'[1]DATA Engine'!$A$3:$H$800,7,FALSE),"")</f>
        <v/>
      </c>
      <c r="H89" s="18" t="str">
        <f>IFERROR(IF(ISNUMBER(SEARCH("GOW",VLOOKUP([1]DATA!W80,'[1]DATA Engine'!$A$3:$H$800,8,FALSE))),"GOW",""),"")</f>
        <v/>
      </c>
      <c r="I89" s="26"/>
      <c r="J89" s="24"/>
      <c r="K89" s="24"/>
      <c r="L89" s="24"/>
      <c r="M89" s="24"/>
      <c r="N89" s="24"/>
      <c r="O89" s="22"/>
      <c r="P89" s="25"/>
      <c r="Q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</row>
    <row r="90" spans="2:57" ht="15">
      <c r="B90" s="18" t="str">
        <f>IF(C90="","",VLOOKUP([1]DATA!W81,'[1]DATA Engine'!$A$3:$H$800,2,FALSE))</f>
        <v/>
      </c>
      <c r="C90" s="19" t="str">
        <f>IFERROR(VLOOKUP([1]DATA!W81,'[1]DATA Engine'!$A$3:$H$800,3,FALSE),"")</f>
        <v/>
      </c>
      <c r="D90" s="20" t="str">
        <f>IFERROR(VLOOKUP([1]DATA!W81,'[1]DATA Engine'!$A$3:$H$800,4,FALSE),"")</f>
        <v/>
      </c>
      <c r="E90" s="20" t="str">
        <f>IFERROR(VLOOKUP([1]DATA!W81,'[1]DATA Engine'!$A$3:$H$800,5,FALSE),"")</f>
        <v/>
      </c>
      <c r="F90" s="18" t="str">
        <f>IFERROR(VLOOKUP([1]DATA!W81,'[1]DATA Engine'!$A$3:$H$800,6,FALSE),"")</f>
        <v/>
      </c>
      <c r="G90" s="18" t="str">
        <f>IFERROR(VLOOKUP([1]DATA!W81,'[1]DATA Engine'!$A$3:$H$800,7,FALSE),"")</f>
        <v/>
      </c>
      <c r="H90" s="18" t="str">
        <f>IFERROR(IF(ISNUMBER(SEARCH("GOW",VLOOKUP([1]DATA!W81,'[1]DATA Engine'!$A$3:$H$800,8,FALSE))),"GOW",""),"")</f>
        <v/>
      </c>
      <c r="I90" s="26"/>
      <c r="J90" s="24"/>
      <c r="K90" s="24"/>
      <c r="L90" s="24"/>
      <c r="M90" s="24"/>
      <c r="N90" s="24"/>
      <c r="O90" s="22"/>
      <c r="P90" s="25"/>
      <c r="Q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</row>
    <row r="91" spans="2:57" ht="15">
      <c r="B91" s="18" t="str">
        <f>IF(C91="","",VLOOKUP([1]DATA!W82,'[1]DATA Engine'!$A$3:$H$800,2,FALSE))</f>
        <v/>
      </c>
      <c r="C91" s="19" t="str">
        <f>IFERROR(VLOOKUP([1]DATA!W82,'[1]DATA Engine'!$A$3:$H$800,3,FALSE),"")</f>
        <v/>
      </c>
      <c r="D91" s="20" t="str">
        <f>IFERROR(VLOOKUP([1]DATA!W82,'[1]DATA Engine'!$A$3:$H$800,4,FALSE),"")</f>
        <v/>
      </c>
      <c r="E91" s="20" t="str">
        <f>IFERROR(VLOOKUP([1]DATA!W82,'[1]DATA Engine'!$A$3:$H$800,5,FALSE),"")</f>
        <v/>
      </c>
      <c r="F91" s="18" t="str">
        <f>IFERROR(VLOOKUP([1]DATA!W82,'[1]DATA Engine'!$A$3:$H$800,6,FALSE),"")</f>
        <v/>
      </c>
      <c r="G91" s="18" t="str">
        <f>IFERROR(VLOOKUP([1]DATA!W82,'[1]DATA Engine'!$A$3:$H$800,7,FALSE),"")</f>
        <v/>
      </c>
      <c r="H91" s="18" t="str">
        <f>IFERROR(IF(ISNUMBER(SEARCH("GOW",VLOOKUP([1]DATA!W82,'[1]DATA Engine'!$A$3:$H$800,8,FALSE))),"GOW",""),"")</f>
        <v/>
      </c>
      <c r="I91" s="26"/>
      <c r="J91" s="24"/>
      <c r="K91" s="24"/>
      <c r="L91" s="24"/>
      <c r="M91" s="24"/>
      <c r="N91" s="24"/>
      <c r="O91" s="22"/>
      <c r="P91" s="25"/>
      <c r="Q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</row>
    <row r="92" spans="2:57" ht="15">
      <c r="B92" s="18" t="str">
        <f>IF(C92="","",VLOOKUP([1]DATA!W83,'[1]DATA Engine'!$A$3:$H$800,2,FALSE))</f>
        <v/>
      </c>
      <c r="C92" s="19" t="str">
        <f>IFERROR(VLOOKUP([1]DATA!W83,'[1]DATA Engine'!$A$3:$H$800,3,FALSE),"")</f>
        <v/>
      </c>
      <c r="D92" s="20" t="str">
        <f>IFERROR(VLOOKUP([1]DATA!W83,'[1]DATA Engine'!$A$3:$H$800,4,FALSE),"")</f>
        <v/>
      </c>
      <c r="E92" s="20" t="str">
        <f>IFERROR(VLOOKUP([1]DATA!W83,'[1]DATA Engine'!$A$3:$H$800,5,FALSE),"")</f>
        <v/>
      </c>
      <c r="F92" s="18" t="str">
        <f>IFERROR(VLOOKUP([1]DATA!W83,'[1]DATA Engine'!$A$3:$H$800,6,FALSE),"")</f>
        <v/>
      </c>
      <c r="G92" s="18" t="str">
        <f>IFERROR(VLOOKUP([1]DATA!W83,'[1]DATA Engine'!$A$3:$H$800,7,FALSE),"")</f>
        <v/>
      </c>
      <c r="H92" s="18" t="str">
        <f>IFERROR(IF(ISNUMBER(SEARCH("GOW",VLOOKUP([1]DATA!W83,'[1]DATA Engine'!$A$3:$H$800,8,FALSE))),"GOW",""),"")</f>
        <v/>
      </c>
      <c r="I92" s="26"/>
      <c r="J92" s="24"/>
      <c r="K92" s="24"/>
      <c r="L92" s="24"/>
      <c r="M92" s="24"/>
      <c r="N92" s="24"/>
      <c r="O92" s="22"/>
      <c r="P92" s="25"/>
      <c r="Q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</row>
    <row r="93" spans="2:57" ht="15">
      <c r="B93" s="18" t="str">
        <f>IF(C93="","",VLOOKUP([1]DATA!W84,'[1]DATA Engine'!$A$3:$H$800,2,FALSE))</f>
        <v/>
      </c>
      <c r="C93" s="19" t="str">
        <f>IFERROR(VLOOKUP([1]DATA!W84,'[1]DATA Engine'!$A$3:$H$800,3,FALSE),"")</f>
        <v/>
      </c>
      <c r="D93" s="20" t="str">
        <f>IFERROR(VLOOKUP([1]DATA!W84,'[1]DATA Engine'!$A$3:$H$800,4,FALSE),"")</f>
        <v/>
      </c>
      <c r="E93" s="20" t="str">
        <f>IFERROR(VLOOKUP([1]DATA!W84,'[1]DATA Engine'!$A$3:$H$800,5,FALSE),"")</f>
        <v/>
      </c>
      <c r="F93" s="18" t="str">
        <f>IFERROR(VLOOKUP([1]DATA!W84,'[1]DATA Engine'!$A$3:$H$800,6,FALSE),"")</f>
        <v/>
      </c>
      <c r="G93" s="18" t="str">
        <f>IFERROR(VLOOKUP([1]DATA!W84,'[1]DATA Engine'!$A$3:$H$800,7,FALSE),"")</f>
        <v/>
      </c>
      <c r="H93" s="18" t="str">
        <f>IFERROR(IF(ISNUMBER(SEARCH("GOW",VLOOKUP([1]DATA!W84,'[1]DATA Engine'!$A$3:$H$800,8,FALSE))),"GOW",""),"")</f>
        <v/>
      </c>
      <c r="I93" s="26"/>
      <c r="J93" s="24"/>
      <c r="K93" s="24"/>
      <c r="L93" s="24"/>
      <c r="M93" s="24"/>
      <c r="N93" s="24"/>
      <c r="O93" s="22"/>
      <c r="P93" s="25"/>
      <c r="Q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</row>
    <row r="94" spans="2:57" ht="15">
      <c r="B94" s="18" t="str">
        <f>IF(C94="","",VLOOKUP([1]DATA!W85,'[1]DATA Engine'!$A$3:$H$800,2,FALSE))</f>
        <v/>
      </c>
      <c r="C94" s="19" t="str">
        <f>IFERROR(VLOOKUP([1]DATA!W85,'[1]DATA Engine'!$A$3:$H$800,3,FALSE),"")</f>
        <v/>
      </c>
      <c r="D94" s="20" t="str">
        <f>IFERROR(VLOOKUP([1]DATA!W85,'[1]DATA Engine'!$A$3:$H$800,4,FALSE),"")</f>
        <v/>
      </c>
      <c r="E94" s="20" t="str">
        <f>IFERROR(VLOOKUP([1]DATA!W85,'[1]DATA Engine'!$A$3:$H$800,5,FALSE),"")</f>
        <v/>
      </c>
      <c r="F94" s="18" t="str">
        <f>IFERROR(VLOOKUP([1]DATA!W85,'[1]DATA Engine'!$A$3:$H$800,6,FALSE),"")</f>
        <v/>
      </c>
      <c r="G94" s="18" t="str">
        <f>IFERROR(VLOOKUP([1]DATA!W85,'[1]DATA Engine'!$A$3:$H$800,7,FALSE),"")</f>
        <v/>
      </c>
      <c r="H94" s="18" t="str">
        <f>IFERROR(IF(ISNUMBER(SEARCH("GOW",VLOOKUP([1]DATA!W85,'[1]DATA Engine'!$A$3:$H$800,8,FALSE))),"GOW",""),"")</f>
        <v/>
      </c>
      <c r="I94" s="26"/>
      <c r="J94" s="24"/>
      <c r="K94" s="24"/>
      <c r="L94" s="24"/>
      <c r="M94" s="24"/>
      <c r="N94" s="24"/>
      <c r="O94" s="22"/>
      <c r="P94" s="25"/>
      <c r="Q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</row>
    <row r="95" spans="2:57" ht="15">
      <c r="B95" s="18" t="str">
        <f>IF(C95="","",VLOOKUP([1]DATA!W86,'[1]DATA Engine'!$A$3:$H$800,2,FALSE))</f>
        <v/>
      </c>
      <c r="C95" s="19" t="str">
        <f>IFERROR(VLOOKUP([1]DATA!W86,'[1]DATA Engine'!$A$3:$H$800,3,FALSE),"")</f>
        <v/>
      </c>
      <c r="D95" s="20" t="str">
        <f>IFERROR(VLOOKUP([1]DATA!W86,'[1]DATA Engine'!$A$3:$H$800,4,FALSE),"")</f>
        <v/>
      </c>
      <c r="E95" s="20" t="str">
        <f>IFERROR(VLOOKUP([1]DATA!W86,'[1]DATA Engine'!$A$3:$H$800,5,FALSE),"")</f>
        <v/>
      </c>
      <c r="F95" s="18" t="str">
        <f>IFERROR(VLOOKUP([1]DATA!W86,'[1]DATA Engine'!$A$3:$H$800,6,FALSE),"")</f>
        <v/>
      </c>
      <c r="G95" s="18" t="str">
        <f>IFERROR(VLOOKUP([1]DATA!W86,'[1]DATA Engine'!$A$3:$H$800,7,FALSE),"")</f>
        <v/>
      </c>
      <c r="H95" s="18" t="str">
        <f>IFERROR(IF(ISNUMBER(SEARCH("GOW",VLOOKUP([1]DATA!W86,'[1]DATA Engine'!$A$3:$H$800,8,FALSE))),"GOW",""),"")</f>
        <v/>
      </c>
      <c r="I95" s="26"/>
      <c r="J95" s="24"/>
      <c r="K95" s="24"/>
      <c r="L95" s="24"/>
      <c r="M95" s="24"/>
      <c r="N95" s="24"/>
      <c r="O95" s="22"/>
      <c r="P95" s="25"/>
      <c r="Q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</row>
    <row r="96" spans="2:57" ht="15">
      <c r="B96" s="18" t="str">
        <f>IF(C96="","",VLOOKUP([1]DATA!W87,'[1]DATA Engine'!$A$3:$H$800,2,FALSE))</f>
        <v/>
      </c>
      <c r="C96" s="19" t="str">
        <f>IFERROR(VLOOKUP([1]DATA!W87,'[1]DATA Engine'!$A$3:$H$800,3,FALSE),"")</f>
        <v/>
      </c>
      <c r="D96" s="20" t="str">
        <f>IFERROR(VLOOKUP([1]DATA!W87,'[1]DATA Engine'!$A$3:$H$800,4,FALSE),"")</f>
        <v/>
      </c>
      <c r="E96" s="20" t="str">
        <f>IFERROR(VLOOKUP([1]DATA!W87,'[1]DATA Engine'!$A$3:$H$800,5,FALSE),"")</f>
        <v/>
      </c>
      <c r="F96" s="18" t="str">
        <f>IFERROR(VLOOKUP([1]DATA!W87,'[1]DATA Engine'!$A$3:$H$800,6,FALSE),"")</f>
        <v/>
      </c>
      <c r="G96" s="18" t="str">
        <f>IFERROR(VLOOKUP([1]DATA!W87,'[1]DATA Engine'!$A$3:$H$800,7,FALSE),"")</f>
        <v/>
      </c>
      <c r="H96" s="18" t="str">
        <f>IFERROR(IF(ISNUMBER(SEARCH("GOW",VLOOKUP([1]DATA!W87,'[1]DATA Engine'!$A$3:$H$800,8,FALSE))),"GOW",""),"")</f>
        <v/>
      </c>
      <c r="I96" s="26"/>
      <c r="J96" s="24"/>
      <c r="K96" s="24"/>
      <c r="L96" s="24"/>
      <c r="M96" s="24"/>
      <c r="N96" s="24"/>
      <c r="O96" s="22"/>
      <c r="P96" s="25"/>
      <c r="Q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</row>
    <row r="97" spans="2:57" ht="15">
      <c r="B97" s="18" t="str">
        <f>IF(C97="","",VLOOKUP([1]DATA!W88,'[1]DATA Engine'!$A$3:$H$800,2,FALSE))</f>
        <v/>
      </c>
      <c r="C97" s="19" t="str">
        <f>IFERROR(VLOOKUP([1]DATA!W88,'[1]DATA Engine'!$A$3:$H$800,3,FALSE),"")</f>
        <v/>
      </c>
      <c r="D97" s="20" t="str">
        <f>IFERROR(VLOOKUP([1]DATA!W88,'[1]DATA Engine'!$A$3:$H$800,4,FALSE),"")</f>
        <v/>
      </c>
      <c r="E97" s="20" t="str">
        <f>IFERROR(VLOOKUP([1]DATA!W88,'[1]DATA Engine'!$A$3:$H$800,5,FALSE),"")</f>
        <v/>
      </c>
      <c r="F97" s="18" t="str">
        <f>IFERROR(VLOOKUP([1]DATA!W88,'[1]DATA Engine'!$A$3:$H$800,6,FALSE),"")</f>
        <v/>
      </c>
      <c r="G97" s="18" t="str">
        <f>IFERROR(VLOOKUP([1]DATA!W88,'[1]DATA Engine'!$A$3:$H$800,7,FALSE),"")</f>
        <v/>
      </c>
      <c r="H97" s="18" t="str">
        <f>IFERROR(IF(ISNUMBER(SEARCH("GOW",VLOOKUP([1]DATA!W88,'[1]DATA Engine'!$A$3:$H$800,8,FALSE))),"GOW",""),"")</f>
        <v/>
      </c>
      <c r="I97" s="26"/>
      <c r="J97" s="24"/>
      <c r="K97" s="24"/>
      <c r="L97" s="24"/>
      <c r="M97" s="24"/>
      <c r="N97" s="24"/>
      <c r="O97" s="22"/>
      <c r="P97" s="25"/>
      <c r="Q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</row>
    <row r="98" spans="2:57" ht="15">
      <c r="B98" s="18" t="str">
        <f>IF(C98="","",VLOOKUP([1]DATA!W89,'[1]DATA Engine'!$A$3:$H$800,2,FALSE))</f>
        <v/>
      </c>
      <c r="C98" s="19" t="str">
        <f>IFERROR(VLOOKUP([1]DATA!W89,'[1]DATA Engine'!$A$3:$H$800,3,FALSE),"")</f>
        <v/>
      </c>
      <c r="D98" s="20" t="str">
        <f>IFERROR(VLOOKUP([1]DATA!W89,'[1]DATA Engine'!$A$3:$H$800,4,FALSE),"")</f>
        <v/>
      </c>
      <c r="E98" s="20" t="str">
        <f>IFERROR(VLOOKUP([1]DATA!W89,'[1]DATA Engine'!$A$3:$H$800,5,FALSE),"")</f>
        <v/>
      </c>
      <c r="F98" s="18" t="str">
        <f>IFERROR(VLOOKUP([1]DATA!W89,'[1]DATA Engine'!$A$3:$H$800,6,FALSE),"")</f>
        <v/>
      </c>
      <c r="G98" s="18" t="str">
        <f>IFERROR(VLOOKUP([1]DATA!W89,'[1]DATA Engine'!$A$3:$H$800,7,FALSE),"")</f>
        <v/>
      </c>
      <c r="H98" s="18" t="str">
        <f>IFERROR(IF(ISNUMBER(SEARCH("GOW",VLOOKUP([1]DATA!W89,'[1]DATA Engine'!$A$3:$H$800,8,FALSE))),"GOW",""),"")</f>
        <v/>
      </c>
      <c r="I98" s="26"/>
      <c r="J98" s="24"/>
      <c r="K98" s="24"/>
      <c r="L98" s="24"/>
      <c r="M98" s="24"/>
      <c r="N98" s="24"/>
      <c r="O98" s="22"/>
      <c r="P98" s="25"/>
      <c r="Q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</row>
    <row r="99" spans="2:57" ht="15">
      <c r="B99" s="18" t="str">
        <f>IF(C99="","",VLOOKUP([1]DATA!W90,'[1]DATA Engine'!$A$3:$H$800,2,FALSE))</f>
        <v/>
      </c>
      <c r="C99" s="19" t="str">
        <f>IFERROR(VLOOKUP([1]DATA!W90,'[1]DATA Engine'!$A$3:$H$800,3,FALSE),"")</f>
        <v/>
      </c>
      <c r="D99" s="20" t="str">
        <f>IFERROR(VLOOKUP([1]DATA!W90,'[1]DATA Engine'!$A$3:$H$800,4,FALSE),"")</f>
        <v/>
      </c>
      <c r="E99" s="20" t="str">
        <f>IFERROR(VLOOKUP([1]DATA!W90,'[1]DATA Engine'!$A$3:$H$800,5,FALSE),"")</f>
        <v/>
      </c>
      <c r="F99" s="18" t="str">
        <f>IFERROR(VLOOKUP([1]DATA!W90,'[1]DATA Engine'!$A$3:$H$800,6,FALSE),"")</f>
        <v/>
      </c>
      <c r="G99" s="18" t="str">
        <f>IFERROR(VLOOKUP([1]DATA!W90,'[1]DATA Engine'!$A$3:$H$800,7,FALSE),"")</f>
        <v/>
      </c>
      <c r="H99" s="18" t="str">
        <f>IFERROR(IF(ISNUMBER(SEARCH("GOW",VLOOKUP([1]DATA!W90,'[1]DATA Engine'!$A$3:$H$800,8,FALSE))),"GOW",""),"")</f>
        <v/>
      </c>
      <c r="I99" s="26"/>
      <c r="J99" s="24"/>
      <c r="K99" s="24"/>
      <c r="L99" s="24"/>
      <c r="M99" s="24"/>
      <c r="N99" s="24"/>
      <c r="O99" s="22"/>
      <c r="P99" s="25"/>
      <c r="Q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</row>
    <row r="100" spans="2:57" ht="15">
      <c r="B100" s="18" t="str">
        <f>IF(C100="","",VLOOKUP([1]DATA!W91,'[1]DATA Engine'!$A$3:$H$800,2,FALSE))</f>
        <v/>
      </c>
      <c r="C100" s="19" t="str">
        <f>IFERROR(VLOOKUP([1]DATA!W91,'[1]DATA Engine'!$A$3:$H$800,3,FALSE),"")</f>
        <v/>
      </c>
      <c r="D100" s="20" t="str">
        <f>IFERROR(VLOOKUP([1]DATA!W91,'[1]DATA Engine'!$A$3:$H$800,4,FALSE),"")</f>
        <v/>
      </c>
      <c r="E100" s="20" t="str">
        <f>IFERROR(VLOOKUP([1]DATA!W91,'[1]DATA Engine'!$A$3:$H$800,5,FALSE),"")</f>
        <v/>
      </c>
      <c r="F100" s="18" t="str">
        <f>IFERROR(VLOOKUP([1]DATA!W91,'[1]DATA Engine'!$A$3:$H$800,6,FALSE),"")</f>
        <v/>
      </c>
      <c r="G100" s="18" t="str">
        <f>IFERROR(VLOOKUP([1]DATA!W91,'[1]DATA Engine'!$A$3:$H$800,7,FALSE),"")</f>
        <v/>
      </c>
      <c r="H100" s="18" t="str">
        <f>IFERROR(IF(ISNUMBER(SEARCH("GOW",VLOOKUP([1]DATA!W91,'[1]DATA Engine'!$A$3:$H$800,8,FALSE))),"GOW",""),"")</f>
        <v/>
      </c>
      <c r="I100" s="26"/>
      <c r="J100" s="24"/>
      <c r="K100" s="24"/>
      <c r="L100" s="24"/>
      <c r="M100" s="24"/>
      <c r="N100" s="24"/>
      <c r="O100" s="22"/>
      <c r="P100" s="25"/>
      <c r="Q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</row>
    <row r="101" spans="2:57" ht="15">
      <c r="B101" s="18" t="str">
        <f>IF(C101="","",VLOOKUP([1]DATA!W92,'[1]DATA Engine'!$A$3:$H$800,2,FALSE))</f>
        <v/>
      </c>
      <c r="C101" s="19" t="str">
        <f>IFERROR(VLOOKUP([1]DATA!W92,'[1]DATA Engine'!$A$3:$H$800,3,FALSE),"")</f>
        <v/>
      </c>
      <c r="D101" s="20" t="str">
        <f>IFERROR(VLOOKUP([1]DATA!W92,'[1]DATA Engine'!$A$3:$H$800,4,FALSE),"")</f>
        <v/>
      </c>
      <c r="E101" s="20" t="str">
        <f>IFERROR(VLOOKUP([1]DATA!W92,'[1]DATA Engine'!$A$3:$H$800,5,FALSE),"")</f>
        <v/>
      </c>
      <c r="F101" s="18" t="str">
        <f>IFERROR(VLOOKUP([1]DATA!W92,'[1]DATA Engine'!$A$3:$H$800,6,FALSE),"")</f>
        <v/>
      </c>
      <c r="G101" s="18" t="str">
        <f>IFERROR(VLOOKUP([1]DATA!W92,'[1]DATA Engine'!$A$3:$H$800,7,FALSE),"")</f>
        <v/>
      </c>
      <c r="H101" s="18" t="str">
        <f>IFERROR(IF(ISNUMBER(SEARCH("GOW",VLOOKUP([1]DATA!W92,'[1]DATA Engine'!$A$3:$H$800,8,FALSE))),"GOW",""),"")</f>
        <v/>
      </c>
      <c r="I101" s="26"/>
      <c r="J101" s="24"/>
      <c r="K101" s="24"/>
      <c r="L101" s="24"/>
      <c r="M101" s="24"/>
      <c r="N101" s="24"/>
      <c r="O101" s="22"/>
      <c r="P101" s="25"/>
      <c r="Q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</row>
    <row r="102" spans="2:57" ht="15">
      <c r="B102" s="18" t="str">
        <f>IF(C102="","",VLOOKUP([1]DATA!W93,'[1]DATA Engine'!$A$3:$H$800,2,FALSE))</f>
        <v/>
      </c>
      <c r="C102" s="19" t="str">
        <f>IFERROR(VLOOKUP([1]DATA!W93,'[1]DATA Engine'!$A$3:$H$800,3,FALSE),"")</f>
        <v/>
      </c>
      <c r="D102" s="20" t="str">
        <f>IFERROR(VLOOKUP([1]DATA!W93,'[1]DATA Engine'!$A$3:$H$800,4,FALSE),"")</f>
        <v/>
      </c>
      <c r="E102" s="20" t="str">
        <f>IFERROR(VLOOKUP([1]DATA!W93,'[1]DATA Engine'!$A$3:$H$800,5,FALSE),"")</f>
        <v/>
      </c>
      <c r="F102" s="18" t="str">
        <f>IFERROR(VLOOKUP([1]DATA!W93,'[1]DATA Engine'!$A$3:$H$800,6,FALSE),"")</f>
        <v/>
      </c>
      <c r="G102" s="18" t="str">
        <f>IFERROR(VLOOKUP([1]DATA!W93,'[1]DATA Engine'!$A$3:$H$800,7,FALSE),"")</f>
        <v/>
      </c>
      <c r="H102" s="18" t="str">
        <f>IFERROR(IF(ISNUMBER(SEARCH("GOW",VLOOKUP([1]DATA!W93,'[1]DATA Engine'!$A$3:$H$800,8,FALSE))),"GOW",""),"")</f>
        <v/>
      </c>
      <c r="I102" s="26"/>
      <c r="J102" s="24"/>
      <c r="K102" s="24"/>
      <c r="L102" s="24"/>
      <c r="M102" s="24"/>
      <c r="N102" s="24"/>
      <c r="O102" s="22"/>
      <c r="P102" s="25"/>
      <c r="Q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</row>
    <row r="103" spans="2:57" ht="15">
      <c r="B103" s="18" t="str">
        <f>IF(C103="","",VLOOKUP([1]DATA!W94,'[1]DATA Engine'!$A$3:$H$800,2,FALSE))</f>
        <v/>
      </c>
      <c r="C103" s="19" t="str">
        <f>IFERROR(VLOOKUP([1]DATA!W94,'[1]DATA Engine'!$A$3:$H$800,3,FALSE),"")</f>
        <v/>
      </c>
      <c r="D103" s="20" t="str">
        <f>IFERROR(VLOOKUP([1]DATA!W94,'[1]DATA Engine'!$A$3:$H$800,4,FALSE),"")</f>
        <v/>
      </c>
      <c r="E103" s="20" t="str">
        <f>IFERROR(VLOOKUP([1]DATA!W94,'[1]DATA Engine'!$A$3:$H$800,5,FALSE),"")</f>
        <v/>
      </c>
      <c r="F103" s="18" t="str">
        <f>IFERROR(VLOOKUP([1]DATA!W94,'[1]DATA Engine'!$A$3:$H$800,6,FALSE),"")</f>
        <v/>
      </c>
      <c r="G103" s="18" t="str">
        <f>IFERROR(VLOOKUP([1]DATA!W94,'[1]DATA Engine'!$A$3:$H$800,7,FALSE),"")</f>
        <v/>
      </c>
      <c r="H103" s="18" t="str">
        <f>IFERROR(IF(ISNUMBER(SEARCH("GOW",VLOOKUP([1]DATA!W94,'[1]DATA Engine'!$A$3:$H$800,8,FALSE))),"GOW",""),"")</f>
        <v/>
      </c>
      <c r="I103" s="26"/>
      <c r="J103" s="24"/>
      <c r="K103" s="24"/>
      <c r="L103" s="24"/>
      <c r="M103" s="24"/>
      <c r="N103" s="24"/>
      <c r="O103" s="22"/>
      <c r="P103" s="25"/>
      <c r="Q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</row>
    <row r="104" spans="2:57" ht="15">
      <c r="B104" s="18" t="str">
        <f>IF(C104="","",VLOOKUP([1]DATA!W95,'[1]DATA Engine'!$A$3:$H$800,2,FALSE))</f>
        <v/>
      </c>
      <c r="C104" s="19" t="str">
        <f>IFERROR(VLOOKUP([1]DATA!W95,'[1]DATA Engine'!$A$3:$H$800,3,FALSE),"")</f>
        <v/>
      </c>
      <c r="D104" s="20" t="str">
        <f>IFERROR(VLOOKUP([1]DATA!W95,'[1]DATA Engine'!$A$3:$H$800,4,FALSE),"")</f>
        <v/>
      </c>
      <c r="E104" s="20" t="str">
        <f>IFERROR(VLOOKUP([1]DATA!W95,'[1]DATA Engine'!$A$3:$H$800,5,FALSE),"")</f>
        <v/>
      </c>
      <c r="F104" s="18" t="str">
        <f>IFERROR(VLOOKUP([1]DATA!W95,'[1]DATA Engine'!$A$3:$H$800,6,FALSE),"")</f>
        <v/>
      </c>
      <c r="G104" s="18" t="str">
        <f>IFERROR(VLOOKUP([1]DATA!W95,'[1]DATA Engine'!$A$3:$H$800,7,FALSE),"")</f>
        <v/>
      </c>
      <c r="H104" s="18" t="str">
        <f>IFERROR(IF(ISNUMBER(SEARCH("GOW",VLOOKUP([1]DATA!W95,'[1]DATA Engine'!$A$3:$H$800,8,FALSE))),"GOW",""),"")</f>
        <v/>
      </c>
      <c r="I104" s="26"/>
      <c r="J104" s="24"/>
      <c r="K104" s="24"/>
      <c r="L104" s="24"/>
      <c r="M104" s="24"/>
      <c r="N104" s="24"/>
      <c r="O104" s="22"/>
      <c r="P104" s="25"/>
      <c r="Q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</row>
    <row r="105" spans="2:57" ht="15">
      <c r="B105" s="18" t="str">
        <f>IF(C105="","",VLOOKUP([1]DATA!W96,'[1]DATA Engine'!$A$3:$H$800,2,FALSE))</f>
        <v/>
      </c>
      <c r="C105" s="19" t="str">
        <f>IFERROR(VLOOKUP([1]DATA!W96,'[1]DATA Engine'!$A$3:$H$800,3,FALSE),"")</f>
        <v/>
      </c>
      <c r="D105" s="20" t="str">
        <f>IFERROR(VLOOKUP([1]DATA!W96,'[1]DATA Engine'!$A$3:$H$800,4,FALSE),"")</f>
        <v/>
      </c>
      <c r="E105" s="20" t="str">
        <f>IFERROR(VLOOKUP([1]DATA!W96,'[1]DATA Engine'!$A$3:$H$800,5,FALSE),"")</f>
        <v/>
      </c>
      <c r="F105" s="18" t="str">
        <f>IFERROR(VLOOKUP([1]DATA!W96,'[1]DATA Engine'!$A$3:$H$800,6,FALSE),"")</f>
        <v/>
      </c>
      <c r="G105" s="18" t="str">
        <f>IFERROR(VLOOKUP([1]DATA!W96,'[1]DATA Engine'!$A$3:$H$800,7,FALSE),"")</f>
        <v/>
      </c>
      <c r="H105" s="18" t="str">
        <f>IFERROR(IF(ISNUMBER(SEARCH("GOW",VLOOKUP([1]DATA!W96,'[1]DATA Engine'!$A$3:$H$800,8,FALSE))),"GOW",""),"")</f>
        <v/>
      </c>
      <c r="I105" s="26"/>
      <c r="J105" s="24"/>
      <c r="K105" s="24"/>
      <c r="L105" s="24"/>
      <c r="M105" s="24"/>
      <c r="N105" s="24"/>
      <c r="O105" s="22"/>
      <c r="P105" s="25"/>
      <c r="Q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</row>
    <row r="106" spans="2:57" ht="15">
      <c r="B106" s="18" t="str">
        <f>IF(C106="","",VLOOKUP([1]DATA!W97,'[1]DATA Engine'!$A$3:$H$800,2,FALSE))</f>
        <v/>
      </c>
      <c r="C106" s="19" t="str">
        <f>IFERROR(VLOOKUP([1]DATA!W97,'[1]DATA Engine'!$A$3:$H$800,3,FALSE),"")</f>
        <v/>
      </c>
      <c r="D106" s="20" t="str">
        <f>IFERROR(VLOOKUP([1]DATA!W97,'[1]DATA Engine'!$A$3:$H$800,4,FALSE),"")</f>
        <v/>
      </c>
      <c r="E106" s="20" t="str">
        <f>IFERROR(VLOOKUP([1]DATA!W97,'[1]DATA Engine'!$A$3:$H$800,5,FALSE),"")</f>
        <v/>
      </c>
      <c r="F106" s="18" t="str">
        <f>IFERROR(VLOOKUP([1]DATA!W97,'[1]DATA Engine'!$A$3:$H$800,6,FALSE),"")</f>
        <v/>
      </c>
      <c r="G106" s="18" t="str">
        <f>IFERROR(VLOOKUP([1]DATA!W97,'[1]DATA Engine'!$A$3:$H$800,7,FALSE),"")</f>
        <v/>
      </c>
      <c r="H106" s="18" t="str">
        <f>IFERROR(IF(ISNUMBER(SEARCH("GOW",VLOOKUP([1]DATA!W97,'[1]DATA Engine'!$A$3:$H$800,8,FALSE))),"GOW",""),"")</f>
        <v/>
      </c>
      <c r="I106" s="26"/>
      <c r="J106" s="24"/>
      <c r="K106" s="24"/>
      <c r="L106" s="24"/>
      <c r="M106" s="24"/>
      <c r="N106" s="24"/>
      <c r="O106" s="22"/>
      <c r="P106" s="25"/>
      <c r="Q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</row>
    <row r="107" spans="2:57" ht="15">
      <c r="B107" s="18" t="str">
        <f>IF(C107="","",VLOOKUP([1]DATA!W98,'[1]DATA Engine'!$A$3:$H$800,2,FALSE))</f>
        <v/>
      </c>
      <c r="C107" s="19" t="str">
        <f>IFERROR(VLOOKUP([1]DATA!W98,'[1]DATA Engine'!$A$3:$H$800,3,FALSE),"")</f>
        <v/>
      </c>
      <c r="D107" s="20" t="str">
        <f>IFERROR(VLOOKUP([1]DATA!W98,'[1]DATA Engine'!$A$3:$H$800,4,FALSE),"")</f>
        <v/>
      </c>
      <c r="E107" s="20" t="str">
        <f>IFERROR(VLOOKUP([1]DATA!W98,'[1]DATA Engine'!$A$3:$H$800,5,FALSE),"")</f>
        <v/>
      </c>
      <c r="F107" s="18" t="str">
        <f>IFERROR(VLOOKUP([1]DATA!W98,'[1]DATA Engine'!$A$3:$H$800,6,FALSE),"")</f>
        <v/>
      </c>
      <c r="G107" s="18" t="str">
        <f>IFERROR(VLOOKUP([1]DATA!W98,'[1]DATA Engine'!$A$3:$H$800,7,FALSE),"")</f>
        <v/>
      </c>
      <c r="H107" s="18" t="str">
        <f>IFERROR(IF(ISNUMBER(SEARCH("GOW",VLOOKUP([1]DATA!W98,'[1]DATA Engine'!$A$3:$H$800,8,FALSE))),"GOW",""),"")</f>
        <v/>
      </c>
      <c r="I107" s="26"/>
      <c r="J107" s="24"/>
      <c r="K107" s="24"/>
      <c r="L107" s="24"/>
      <c r="M107" s="24"/>
      <c r="N107" s="24"/>
      <c r="O107" s="22"/>
      <c r="P107" s="25"/>
      <c r="Q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</row>
    <row r="108" spans="2:57" ht="15">
      <c r="B108" s="18" t="str">
        <f>IF(C108="","",VLOOKUP([1]DATA!W99,'[1]DATA Engine'!$A$3:$H$800,2,FALSE))</f>
        <v/>
      </c>
      <c r="C108" s="19" t="str">
        <f>IFERROR(VLOOKUP([1]DATA!W99,'[1]DATA Engine'!$A$3:$H$800,3,FALSE),"")</f>
        <v/>
      </c>
      <c r="D108" s="20" t="str">
        <f>IFERROR(VLOOKUP([1]DATA!W99,'[1]DATA Engine'!$A$3:$H$800,4,FALSE),"")</f>
        <v/>
      </c>
      <c r="E108" s="20" t="str">
        <f>IFERROR(VLOOKUP([1]DATA!W99,'[1]DATA Engine'!$A$3:$H$800,5,FALSE),"")</f>
        <v/>
      </c>
      <c r="F108" s="18" t="str">
        <f>IFERROR(VLOOKUP([1]DATA!W99,'[1]DATA Engine'!$A$3:$H$800,6,FALSE),"")</f>
        <v/>
      </c>
      <c r="G108" s="18" t="str">
        <f>IFERROR(VLOOKUP([1]DATA!W99,'[1]DATA Engine'!$A$3:$H$800,7,FALSE),"")</f>
        <v/>
      </c>
      <c r="H108" s="18" t="str">
        <f>IFERROR(IF(ISNUMBER(SEARCH("GOW",VLOOKUP([1]DATA!W99,'[1]DATA Engine'!$A$3:$H$800,8,FALSE))),"GOW",""),"")</f>
        <v/>
      </c>
      <c r="I108" s="26"/>
      <c r="J108" s="24"/>
      <c r="K108" s="24"/>
      <c r="L108" s="24"/>
      <c r="M108" s="24"/>
      <c r="N108" s="24"/>
      <c r="O108" s="22"/>
      <c r="P108" s="25"/>
      <c r="Q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</row>
    <row r="109" spans="2:57" ht="15">
      <c r="B109" s="18" t="str">
        <f>IF(C109="","",VLOOKUP([1]DATA!W100,'[1]DATA Engine'!$A$3:$H$800,2,FALSE))</f>
        <v/>
      </c>
      <c r="C109" s="19" t="str">
        <f>IFERROR(VLOOKUP([1]DATA!W100,'[1]DATA Engine'!$A$3:$H$800,3,FALSE),"")</f>
        <v/>
      </c>
      <c r="D109" s="20" t="str">
        <f>IFERROR(VLOOKUP([1]DATA!W100,'[1]DATA Engine'!$A$3:$H$800,4,FALSE),"")</f>
        <v/>
      </c>
      <c r="E109" s="20" t="str">
        <f>IFERROR(VLOOKUP([1]DATA!W100,'[1]DATA Engine'!$A$3:$H$800,5,FALSE),"")</f>
        <v/>
      </c>
      <c r="F109" s="18" t="str">
        <f>IFERROR(VLOOKUP([1]DATA!W100,'[1]DATA Engine'!$A$3:$H$800,6,FALSE),"")</f>
        <v/>
      </c>
      <c r="G109" s="18" t="str">
        <f>IFERROR(VLOOKUP([1]DATA!W100,'[1]DATA Engine'!$A$3:$H$800,7,FALSE),"")</f>
        <v/>
      </c>
      <c r="H109" s="18" t="str">
        <f>IFERROR(IF(ISNUMBER(SEARCH("GOW",VLOOKUP([1]DATA!W100,'[1]DATA Engine'!$A$3:$H$800,8,FALSE))),"GOW",""),"")</f>
        <v/>
      </c>
      <c r="I109" s="26"/>
      <c r="J109" s="24"/>
      <c r="K109" s="24"/>
      <c r="L109" s="24"/>
      <c r="M109" s="24"/>
      <c r="N109" s="24"/>
      <c r="O109" s="22"/>
      <c r="P109" s="25"/>
      <c r="Q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</row>
    <row r="110" spans="2:57" ht="15">
      <c r="B110" s="18" t="str">
        <f>IF(C110="","",VLOOKUP([1]DATA!W101,'[1]DATA Engine'!$A$3:$H$800,2,FALSE))</f>
        <v/>
      </c>
      <c r="C110" s="19" t="str">
        <f>IFERROR(VLOOKUP([1]DATA!W101,'[1]DATA Engine'!$A$3:$H$800,3,FALSE),"")</f>
        <v/>
      </c>
      <c r="D110" s="20" t="str">
        <f>IFERROR(VLOOKUP([1]DATA!W101,'[1]DATA Engine'!$A$3:$H$800,4,FALSE),"")</f>
        <v/>
      </c>
      <c r="E110" s="20" t="str">
        <f>IFERROR(VLOOKUP([1]DATA!W101,'[1]DATA Engine'!$A$3:$H$800,5,FALSE),"")</f>
        <v/>
      </c>
      <c r="F110" s="18" t="str">
        <f>IFERROR(VLOOKUP([1]DATA!W101,'[1]DATA Engine'!$A$3:$H$800,6,FALSE),"")</f>
        <v/>
      </c>
      <c r="G110" s="18" t="str">
        <f>IFERROR(VLOOKUP([1]DATA!W101,'[1]DATA Engine'!$A$3:$H$800,7,FALSE),"")</f>
        <v/>
      </c>
      <c r="H110" s="18" t="str">
        <f>IFERROR(IF(ISNUMBER(SEARCH("GOW",VLOOKUP([1]DATA!W101,'[1]DATA Engine'!$A$3:$H$800,8,FALSE))),"GOW",""),"")</f>
        <v/>
      </c>
      <c r="I110" s="26"/>
      <c r="J110" s="24"/>
      <c r="K110" s="24"/>
      <c r="L110" s="24"/>
      <c r="M110" s="24"/>
      <c r="N110" s="24"/>
      <c r="O110" s="22"/>
      <c r="P110" s="25"/>
      <c r="Q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</row>
    <row r="111" spans="2:57" ht="15">
      <c r="B111" s="18" t="str">
        <f>IF(C111="","",VLOOKUP([1]DATA!W102,'[1]DATA Engine'!$A$3:$H$800,2,FALSE))</f>
        <v/>
      </c>
      <c r="C111" s="19" t="str">
        <f>IFERROR(VLOOKUP([1]DATA!W102,'[1]DATA Engine'!$A$3:$H$800,3,FALSE),"")</f>
        <v/>
      </c>
      <c r="D111" s="20" t="str">
        <f>IFERROR(VLOOKUP([1]DATA!W102,'[1]DATA Engine'!$A$3:$H$800,4,FALSE),"")</f>
        <v/>
      </c>
      <c r="E111" s="20" t="str">
        <f>IFERROR(VLOOKUP([1]DATA!W102,'[1]DATA Engine'!$A$3:$H$800,5,FALSE),"")</f>
        <v/>
      </c>
      <c r="F111" s="18" t="str">
        <f>IFERROR(VLOOKUP([1]DATA!W102,'[1]DATA Engine'!$A$3:$H$800,6,FALSE),"")</f>
        <v/>
      </c>
      <c r="G111" s="18" t="str">
        <f>IFERROR(VLOOKUP([1]DATA!W102,'[1]DATA Engine'!$A$3:$H$800,7,FALSE),"")</f>
        <v/>
      </c>
      <c r="H111" s="18" t="str">
        <f>IFERROR(IF(ISNUMBER(SEARCH("GOW",VLOOKUP([1]DATA!W102,'[1]DATA Engine'!$A$3:$H$800,8,FALSE))),"GOW",""),"")</f>
        <v/>
      </c>
      <c r="I111" s="26"/>
      <c r="J111" s="24"/>
      <c r="K111" s="24"/>
      <c r="L111" s="24"/>
      <c r="M111" s="24"/>
      <c r="N111" s="24"/>
      <c r="O111" s="22"/>
      <c r="P111" s="25"/>
      <c r="Q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</row>
    <row r="112" spans="2:57" ht="15">
      <c r="B112" s="18" t="str">
        <f>IF(C112="","",VLOOKUP([1]DATA!W103,'[1]DATA Engine'!$A$3:$H$800,2,FALSE))</f>
        <v/>
      </c>
      <c r="C112" s="19" t="str">
        <f>IFERROR(VLOOKUP([1]DATA!W103,'[1]DATA Engine'!$A$3:$H$800,3,FALSE),"")</f>
        <v/>
      </c>
      <c r="D112" s="20" t="str">
        <f>IFERROR(VLOOKUP([1]DATA!W103,'[1]DATA Engine'!$A$3:$H$800,4,FALSE),"")</f>
        <v/>
      </c>
      <c r="E112" s="20" t="str">
        <f>IFERROR(VLOOKUP([1]DATA!W103,'[1]DATA Engine'!$A$3:$H$800,5,FALSE),"")</f>
        <v/>
      </c>
      <c r="F112" s="18" t="str">
        <f>IFERROR(VLOOKUP([1]DATA!W103,'[1]DATA Engine'!$A$3:$H$800,6,FALSE),"")</f>
        <v/>
      </c>
      <c r="G112" s="18" t="str">
        <f>IFERROR(VLOOKUP([1]DATA!W103,'[1]DATA Engine'!$A$3:$H$800,7,FALSE),"")</f>
        <v/>
      </c>
      <c r="H112" s="18" t="str">
        <f>IFERROR(IF(ISNUMBER(SEARCH("GOW",VLOOKUP([1]DATA!W103,'[1]DATA Engine'!$A$3:$H$800,8,FALSE))),"GOW",""),"")</f>
        <v/>
      </c>
      <c r="I112" s="26"/>
      <c r="J112" s="24"/>
      <c r="K112" s="24"/>
      <c r="L112" s="24"/>
      <c r="M112" s="24"/>
      <c r="N112" s="24"/>
      <c r="O112" s="22"/>
      <c r="P112" s="25"/>
      <c r="Q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</row>
    <row r="113" spans="2:57" ht="15">
      <c r="B113" s="18" t="str">
        <f>IF(C113="","",VLOOKUP([1]DATA!W104,'[1]DATA Engine'!$A$3:$H$800,2,FALSE))</f>
        <v/>
      </c>
      <c r="C113" s="19" t="str">
        <f>IFERROR(VLOOKUP([1]DATA!W104,'[1]DATA Engine'!$A$3:$H$800,3,FALSE),"")</f>
        <v/>
      </c>
      <c r="D113" s="20" t="str">
        <f>IFERROR(VLOOKUP([1]DATA!W104,'[1]DATA Engine'!$A$3:$H$800,4,FALSE),"")</f>
        <v/>
      </c>
      <c r="E113" s="20" t="str">
        <f>IFERROR(VLOOKUP([1]DATA!W104,'[1]DATA Engine'!$A$3:$H$800,5,FALSE),"")</f>
        <v/>
      </c>
      <c r="F113" s="18" t="str">
        <f>IFERROR(VLOOKUP([1]DATA!W104,'[1]DATA Engine'!$A$3:$H$800,6,FALSE),"")</f>
        <v/>
      </c>
      <c r="G113" s="18" t="str">
        <f>IFERROR(VLOOKUP([1]DATA!W104,'[1]DATA Engine'!$A$3:$H$800,7,FALSE),"")</f>
        <v/>
      </c>
      <c r="H113" s="18" t="str">
        <f>IFERROR(IF(ISNUMBER(SEARCH("GOW",VLOOKUP([1]DATA!W104,'[1]DATA Engine'!$A$3:$H$800,8,FALSE))),"GOW",""),"")</f>
        <v/>
      </c>
      <c r="I113" s="26"/>
      <c r="J113" s="24"/>
      <c r="K113" s="24"/>
      <c r="L113" s="24"/>
      <c r="M113" s="24"/>
      <c r="N113" s="24"/>
      <c r="O113" s="22"/>
      <c r="P113" s="25"/>
      <c r="Q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</row>
    <row r="114" spans="2:57" ht="15">
      <c r="B114" s="18" t="str">
        <f>IF(C114="","",VLOOKUP([1]DATA!W105,'[1]DATA Engine'!$A$3:$H$800,2,FALSE))</f>
        <v/>
      </c>
      <c r="C114" s="19" t="str">
        <f>IFERROR(VLOOKUP([1]DATA!W105,'[1]DATA Engine'!$A$3:$H$800,3,FALSE),"")</f>
        <v/>
      </c>
      <c r="D114" s="20" t="str">
        <f>IFERROR(VLOOKUP([1]DATA!W105,'[1]DATA Engine'!$A$3:$H$800,4,FALSE),"")</f>
        <v/>
      </c>
      <c r="E114" s="20" t="str">
        <f>IFERROR(VLOOKUP([1]DATA!W105,'[1]DATA Engine'!$A$3:$H$800,5,FALSE),"")</f>
        <v/>
      </c>
      <c r="F114" s="18" t="str">
        <f>IFERROR(VLOOKUP([1]DATA!W105,'[1]DATA Engine'!$A$3:$H$800,6,FALSE),"")</f>
        <v/>
      </c>
      <c r="G114" s="18" t="str">
        <f>IFERROR(VLOOKUP([1]DATA!W105,'[1]DATA Engine'!$A$3:$H$800,7,FALSE),"")</f>
        <v/>
      </c>
      <c r="H114" s="18" t="str">
        <f>IFERROR(IF(ISNUMBER(SEARCH("GOW",VLOOKUP([1]DATA!W105,'[1]DATA Engine'!$A$3:$H$800,8,FALSE))),"GOW",""),"")</f>
        <v/>
      </c>
      <c r="I114" s="26"/>
      <c r="J114" s="24"/>
      <c r="K114" s="24"/>
      <c r="L114" s="24"/>
      <c r="M114" s="24"/>
      <c r="N114" s="24"/>
      <c r="O114" s="22"/>
      <c r="P114" s="25"/>
      <c r="Q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</row>
    <row r="115" spans="2:57" ht="15">
      <c r="B115" s="18" t="str">
        <f>IF(C115="","",VLOOKUP([1]DATA!W106,'[1]DATA Engine'!$A$3:$H$800,2,FALSE))</f>
        <v/>
      </c>
      <c r="C115" s="19" t="str">
        <f>IFERROR(VLOOKUP([1]DATA!W106,'[1]DATA Engine'!$A$3:$H$800,3,FALSE),"")</f>
        <v/>
      </c>
      <c r="D115" s="20" t="str">
        <f>IFERROR(VLOOKUP([1]DATA!W106,'[1]DATA Engine'!$A$3:$H$800,4,FALSE),"")</f>
        <v/>
      </c>
      <c r="E115" s="20" t="str">
        <f>IFERROR(VLOOKUP([1]DATA!W106,'[1]DATA Engine'!$A$3:$H$800,5,FALSE),"")</f>
        <v/>
      </c>
      <c r="F115" s="18" t="str">
        <f>IFERROR(VLOOKUP([1]DATA!W106,'[1]DATA Engine'!$A$3:$H$800,6,FALSE),"")</f>
        <v/>
      </c>
      <c r="G115" s="18" t="str">
        <f>IFERROR(VLOOKUP([1]DATA!W106,'[1]DATA Engine'!$A$3:$H$800,7,FALSE),"")</f>
        <v/>
      </c>
      <c r="H115" s="18" t="str">
        <f>IFERROR(IF(ISNUMBER(SEARCH("GOW",VLOOKUP([1]DATA!W106,'[1]DATA Engine'!$A$3:$H$800,8,FALSE))),"GOW",""),"")</f>
        <v/>
      </c>
      <c r="I115" s="26"/>
      <c r="J115" s="24"/>
      <c r="K115" s="24"/>
      <c r="L115" s="24"/>
      <c r="M115" s="24"/>
      <c r="N115" s="24"/>
      <c r="O115" s="22"/>
      <c r="P115" s="25"/>
      <c r="Q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</row>
    <row r="116" spans="2:57" ht="15">
      <c r="B116" s="18" t="str">
        <f>IF(C116="","",VLOOKUP([1]DATA!W107,'[1]DATA Engine'!$A$3:$H$800,2,FALSE))</f>
        <v/>
      </c>
      <c r="C116" s="19" t="str">
        <f>IFERROR(VLOOKUP([1]DATA!W107,'[1]DATA Engine'!$A$3:$H$800,3,FALSE),"")</f>
        <v/>
      </c>
      <c r="D116" s="20" t="str">
        <f>IFERROR(VLOOKUP([1]DATA!W107,'[1]DATA Engine'!$A$3:$H$800,4,FALSE),"")</f>
        <v/>
      </c>
      <c r="E116" s="20" t="str">
        <f>IFERROR(VLOOKUP([1]DATA!W107,'[1]DATA Engine'!$A$3:$H$800,5,FALSE),"")</f>
        <v/>
      </c>
      <c r="F116" s="18" t="str">
        <f>IFERROR(VLOOKUP([1]DATA!W107,'[1]DATA Engine'!$A$3:$H$800,6,FALSE),"")</f>
        <v/>
      </c>
      <c r="G116" s="18" t="str">
        <f>IFERROR(VLOOKUP([1]DATA!W107,'[1]DATA Engine'!$A$3:$H$800,7,FALSE),"")</f>
        <v/>
      </c>
      <c r="H116" s="18" t="str">
        <f>IFERROR(IF(ISNUMBER(SEARCH("GOW",VLOOKUP([1]DATA!W107,'[1]DATA Engine'!$A$3:$H$800,8,FALSE))),"GOW",""),"")</f>
        <v/>
      </c>
      <c r="I116" s="26"/>
      <c r="J116" s="24"/>
      <c r="K116" s="24"/>
      <c r="L116" s="24"/>
      <c r="M116" s="24"/>
      <c r="N116" s="24"/>
      <c r="O116" s="22"/>
      <c r="P116" s="25"/>
      <c r="Q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</row>
    <row r="117" spans="2:57" ht="15">
      <c r="B117" s="18" t="str">
        <f>IF(C117="","",VLOOKUP([1]DATA!W108,'[1]DATA Engine'!$A$3:$H$800,2,FALSE))</f>
        <v/>
      </c>
      <c r="C117" s="19" t="str">
        <f>IFERROR(VLOOKUP([1]DATA!W108,'[1]DATA Engine'!$A$3:$H$800,3,FALSE),"")</f>
        <v/>
      </c>
      <c r="D117" s="20" t="str">
        <f>IFERROR(VLOOKUP([1]DATA!W108,'[1]DATA Engine'!$A$3:$H$800,4,FALSE),"")</f>
        <v/>
      </c>
      <c r="E117" s="20" t="str">
        <f>IFERROR(VLOOKUP([1]DATA!W108,'[1]DATA Engine'!$A$3:$H$800,5,FALSE),"")</f>
        <v/>
      </c>
      <c r="F117" s="18" t="str">
        <f>IFERROR(VLOOKUP([1]DATA!W108,'[1]DATA Engine'!$A$3:$H$800,6,FALSE),"")</f>
        <v/>
      </c>
      <c r="G117" s="18" t="str">
        <f>IFERROR(VLOOKUP([1]DATA!W108,'[1]DATA Engine'!$A$3:$H$800,7,FALSE),"")</f>
        <v/>
      </c>
      <c r="H117" s="18" t="str">
        <f>IFERROR(IF(ISNUMBER(SEARCH("GOW",VLOOKUP([1]DATA!W108,'[1]DATA Engine'!$A$3:$H$800,8,FALSE))),"GOW",""),"")</f>
        <v/>
      </c>
      <c r="I117" s="26"/>
      <c r="J117" s="24"/>
      <c r="K117" s="24"/>
      <c r="L117" s="24"/>
      <c r="M117" s="24"/>
      <c r="N117" s="24"/>
      <c r="O117" s="22"/>
      <c r="P117" s="25"/>
      <c r="Q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</row>
    <row r="118" spans="2:57" ht="15">
      <c r="B118" s="18" t="str">
        <f>IF(C118="","",VLOOKUP([1]DATA!W109,'[1]DATA Engine'!$A$3:$H$800,2,FALSE))</f>
        <v/>
      </c>
      <c r="C118" s="19" t="str">
        <f>IFERROR(VLOOKUP([1]DATA!W109,'[1]DATA Engine'!$A$3:$H$800,3,FALSE),"")</f>
        <v/>
      </c>
      <c r="D118" s="20" t="str">
        <f>IFERROR(VLOOKUP([1]DATA!W109,'[1]DATA Engine'!$A$3:$H$800,4,FALSE),"")</f>
        <v/>
      </c>
      <c r="E118" s="20" t="str">
        <f>IFERROR(VLOOKUP([1]DATA!W109,'[1]DATA Engine'!$A$3:$H$800,5,FALSE),"")</f>
        <v/>
      </c>
      <c r="F118" s="18" t="str">
        <f>IFERROR(VLOOKUP([1]DATA!W109,'[1]DATA Engine'!$A$3:$H$800,6,FALSE),"")</f>
        <v/>
      </c>
      <c r="G118" s="18" t="str">
        <f>IFERROR(VLOOKUP([1]DATA!W109,'[1]DATA Engine'!$A$3:$H$800,7,FALSE),"")</f>
        <v/>
      </c>
      <c r="H118" s="18" t="str">
        <f>IFERROR(IF(ISNUMBER(SEARCH("GOW",VLOOKUP([1]DATA!W109,'[1]DATA Engine'!$A$3:$H$800,8,FALSE))),"GOW",""),"")</f>
        <v/>
      </c>
      <c r="I118" s="26"/>
      <c r="J118" s="24"/>
      <c r="K118" s="24"/>
      <c r="L118" s="24"/>
      <c r="M118" s="24"/>
      <c r="N118" s="24"/>
      <c r="O118" s="22"/>
      <c r="P118" s="25"/>
      <c r="Q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</row>
    <row r="119" spans="2:57" ht="15">
      <c r="B119" s="18" t="str">
        <f>IF(C119="","",VLOOKUP([1]DATA!W110,'[1]DATA Engine'!$A$3:$H$800,2,FALSE))</f>
        <v/>
      </c>
      <c r="C119" s="19" t="str">
        <f>IFERROR(VLOOKUP([1]DATA!W110,'[1]DATA Engine'!$A$3:$H$800,3,FALSE),"")</f>
        <v/>
      </c>
      <c r="D119" s="20" t="str">
        <f>IFERROR(VLOOKUP([1]DATA!W110,'[1]DATA Engine'!$A$3:$H$800,4,FALSE),"")</f>
        <v/>
      </c>
      <c r="E119" s="20" t="str">
        <f>IFERROR(VLOOKUP([1]DATA!W110,'[1]DATA Engine'!$A$3:$H$800,5,FALSE),"")</f>
        <v/>
      </c>
      <c r="F119" s="18" t="str">
        <f>IFERROR(VLOOKUP([1]DATA!W110,'[1]DATA Engine'!$A$3:$H$800,6,FALSE),"")</f>
        <v/>
      </c>
      <c r="G119" s="18" t="str">
        <f>IFERROR(VLOOKUP([1]DATA!W110,'[1]DATA Engine'!$A$3:$H$800,7,FALSE),"")</f>
        <v/>
      </c>
      <c r="H119" s="18" t="str">
        <f>IFERROR(IF(ISNUMBER(SEARCH("GOW",VLOOKUP([1]DATA!W110,'[1]DATA Engine'!$A$3:$H$800,8,FALSE))),"GOW",""),"")</f>
        <v/>
      </c>
      <c r="I119" s="26"/>
      <c r="J119" s="24"/>
      <c r="K119" s="24"/>
      <c r="L119" s="24"/>
      <c r="M119" s="24"/>
      <c r="N119" s="24"/>
      <c r="O119" s="22"/>
      <c r="P119" s="25"/>
      <c r="Q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</row>
    <row r="120" spans="2:57" ht="15">
      <c r="B120" s="18" t="str">
        <f>IF(C120="","",VLOOKUP([1]DATA!W111,'[1]DATA Engine'!$A$3:$H$800,2,FALSE))</f>
        <v/>
      </c>
      <c r="C120" s="19" t="str">
        <f>IFERROR(VLOOKUP([1]DATA!W111,'[1]DATA Engine'!$A$3:$H$800,3,FALSE),"")</f>
        <v/>
      </c>
      <c r="D120" s="20" t="str">
        <f>IFERROR(VLOOKUP([1]DATA!W111,'[1]DATA Engine'!$A$3:$H$800,4,FALSE),"")</f>
        <v/>
      </c>
      <c r="E120" s="20" t="str">
        <f>IFERROR(VLOOKUP([1]DATA!W111,'[1]DATA Engine'!$A$3:$H$800,5,FALSE),"")</f>
        <v/>
      </c>
      <c r="F120" s="18" t="str">
        <f>IFERROR(VLOOKUP([1]DATA!W111,'[1]DATA Engine'!$A$3:$H$800,6,FALSE),"")</f>
        <v/>
      </c>
      <c r="G120" s="18" t="str">
        <f>IFERROR(VLOOKUP([1]DATA!W111,'[1]DATA Engine'!$A$3:$H$800,7,FALSE),"")</f>
        <v/>
      </c>
      <c r="H120" s="18" t="str">
        <f>IFERROR(IF(ISNUMBER(SEARCH("GOW",VLOOKUP([1]DATA!W111,'[1]DATA Engine'!$A$3:$H$800,8,FALSE))),"GOW",""),"")</f>
        <v/>
      </c>
      <c r="I120" s="26"/>
      <c r="J120" s="24"/>
      <c r="K120" s="24"/>
      <c r="L120" s="24"/>
      <c r="M120" s="24"/>
      <c r="N120" s="24"/>
      <c r="O120" s="22"/>
      <c r="P120" s="25"/>
      <c r="Q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</row>
    <row r="121" spans="2:57" ht="15">
      <c r="B121" s="18" t="str">
        <f>IF(C121="","",VLOOKUP([1]DATA!W112,'[1]DATA Engine'!$A$3:$H$800,2,FALSE))</f>
        <v/>
      </c>
      <c r="C121" s="19" t="str">
        <f>IFERROR(VLOOKUP([1]DATA!W112,'[1]DATA Engine'!$A$3:$H$800,3,FALSE),"")</f>
        <v/>
      </c>
      <c r="D121" s="20" t="str">
        <f>IFERROR(VLOOKUP([1]DATA!W112,'[1]DATA Engine'!$A$3:$H$800,4,FALSE),"")</f>
        <v/>
      </c>
      <c r="E121" s="20" t="str">
        <f>IFERROR(VLOOKUP([1]DATA!W112,'[1]DATA Engine'!$A$3:$H$800,5,FALSE),"")</f>
        <v/>
      </c>
      <c r="F121" s="18" t="str">
        <f>IFERROR(VLOOKUP([1]DATA!W112,'[1]DATA Engine'!$A$3:$H$800,6,FALSE),"")</f>
        <v/>
      </c>
      <c r="G121" s="18" t="str">
        <f>IFERROR(VLOOKUP([1]DATA!W112,'[1]DATA Engine'!$A$3:$H$800,7,FALSE),"")</f>
        <v/>
      </c>
      <c r="H121" s="18" t="str">
        <f>IFERROR(IF(ISNUMBER(SEARCH("GOW",VLOOKUP([1]DATA!W112,'[1]DATA Engine'!$A$3:$H$800,8,FALSE))),"GOW",""),"")</f>
        <v/>
      </c>
      <c r="I121" s="26"/>
      <c r="J121" s="24"/>
      <c r="K121" s="24"/>
      <c r="L121" s="24"/>
      <c r="M121" s="24"/>
      <c r="N121" s="24"/>
      <c r="O121" s="22"/>
      <c r="P121" s="25"/>
      <c r="Q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</row>
    <row r="122" spans="2:57" ht="15">
      <c r="B122" s="18" t="str">
        <f>IF(C122="","",VLOOKUP([1]DATA!W113,'[1]DATA Engine'!$A$3:$H$800,2,FALSE))</f>
        <v/>
      </c>
      <c r="C122" s="19" t="str">
        <f>IFERROR(VLOOKUP([1]DATA!W113,'[1]DATA Engine'!$A$3:$H$800,3,FALSE),"")</f>
        <v/>
      </c>
      <c r="D122" s="20" t="str">
        <f>IFERROR(VLOOKUP([1]DATA!W113,'[1]DATA Engine'!$A$3:$H$800,4,FALSE),"")</f>
        <v/>
      </c>
      <c r="E122" s="20" t="str">
        <f>IFERROR(VLOOKUP([1]DATA!W113,'[1]DATA Engine'!$A$3:$H$800,5,FALSE),"")</f>
        <v/>
      </c>
      <c r="F122" s="18" t="str">
        <f>IFERROR(VLOOKUP([1]DATA!W113,'[1]DATA Engine'!$A$3:$H$800,6,FALSE),"")</f>
        <v/>
      </c>
      <c r="G122" s="18" t="str">
        <f>IFERROR(VLOOKUP([1]DATA!W113,'[1]DATA Engine'!$A$3:$H$800,7,FALSE),"")</f>
        <v/>
      </c>
      <c r="H122" s="18" t="str">
        <f>IFERROR(IF(ISNUMBER(SEARCH("GOW",VLOOKUP([1]DATA!W113,'[1]DATA Engine'!$A$3:$H$800,8,FALSE))),"GOW",""),"")</f>
        <v/>
      </c>
      <c r="I122" s="26"/>
      <c r="J122" s="24"/>
      <c r="K122" s="24"/>
      <c r="L122" s="24"/>
      <c r="M122" s="24"/>
      <c r="N122" s="24"/>
      <c r="O122" s="22"/>
      <c r="P122" s="25"/>
      <c r="Q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</row>
    <row r="123" spans="2:57" ht="15">
      <c r="B123" s="18" t="str">
        <f>IF(C123="","",VLOOKUP([1]DATA!W114,'[1]DATA Engine'!$A$3:$H$800,2,FALSE))</f>
        <v/>
      </c>
      <c r="C123" s="19" t="str">
        <f>IFERROR(VLOOKUP([1]DATA!W114,'[1]DATA Engine'!$A$3:$H$800,3,FALSE),"")</f>
        <v/>
      </c>
      <c r="D123" s="20" t="str">
        <f>IFERROR(VLOOKUP([1]DATA!W114,'[1]DATA Engine'!$A$3:$H$800,4,FALSE),"")</f>
        <v/>
      </c>
      <c r="E123" s="20" t="str">
        <f>IFERROR(VLOOKUP([1]DATA!W114,'[1]DATA Engine'!$A$3:$H$800,5,FALSE),"")</f>
        <v/>
      </c>
      <c r="F123" s="18" t="str">
        <f>IFERROR(VLOOKUP([1]DATA!W114,'[1]DATA Engine'!$A$3:$H$800,6,FALSE),"")</f>
        <v/>
      </c>
      <c r="G123" s="18" t="str">
        <f>IFERROR(VLOOKUP([1]DATA!W114,'[1]DATA Engine'!$A$3:$H$800,7,FALSE),"")</f>
        <v/>
      </c>
      <c r="H123" s="18" t="str">
        <f>IFERROR(IF(ISNUMBER(SEARCH("GOW",VLOOKUP([1]DATA!W114,'[1]DATA Engine'!$A$3:$H$800,8,FALSE))),"GOW",""),"")</f>
        <v/>
      </c>
      <c r="I123" s="26"/>
      <c r="J123" s="24"/>
      <c r="K123" s="24"/>
      <c r="L123" s="24"/>
      <c r="M123" s="24"/>
      <c r="N123" s="24"/>
      <c r="O123" s="22"/>
      <c r="P123" s="25"/>
      <c r="Q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</row>
    <row r="124" spans="2:57" ht="15">
      <c r="B124" s="18" t="str">
        <f>IF(C124="","",VLOOKUP([1]DATA!W115,'[1]DATA Engine'!$A$3:$H$800,2,FALSE))</f>
        <v/>
      </c>
      <c r="C124" s="19" t="str">
        <f>IFERROR(VLOOKUP([1]DATA!W115,'[1]DATA Engine'!$A$3:$H$800,3,FALSE),"")</f>
        <v/>
      </c>
      <c r="D124" s="20" t="str">
        <f>IFERROR(VLOOKUP([1]DATA!W115,'[1]DATA Engine'!$A$3:$H$800,4,FALSE),"")</f>
        <v/>
      </c>
      <c r="E124" s="20" t="str">
        <f>IFERROR(VLOOKUP([1]DATA!W115,'[1]DATA Engine'!$A$3:$H$800,5,FALSE),"")</f>
        <v/>
      </c>
      <c r="F124" s="18" t="str">
        <f>IFERROR(VLOOKUP([1]DATA!W115,'[1]DATA Engine'!$A$3:$H$800,6,FALSE),"")</f>
        <v/>
      </c>
      <c r="G124" s="18" t="str">
        <f>IFERROR(VLOOKUP([1]DATA!W115,'[1]DATA Engine'!$A$3:$H$800,7,FALSE),"")</f>
        <v/>
      </c>
      <c r="H124" s="18" t="str">
        <f>IFERROR(IF(ISNUMBER(SEARCH("GOW",VLOOKUP([1]DATA!W115,'[1]DATA Engine'!$A$3:$H$800,8,FALSE))),"GOW",""),"")</f>
        <v/>
      </c>
      <c r="I124" s="26"/>
      <c r="J124" s="24"/>
      <c r="K124" s="24"/>
      <c r="L124" s="24"/>
      <c r="M124" s="24"/>
      <c r="N124" s="24"/>
      <c r="O124" s="22"/>
      <c r="P124" s="25"/>
      <c r="Q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</row>
    <row r="125" spans="2:57" ht="15">
      <c r="B125" s="18" t="str">
        <f>IF(C125="","",VLOOKUP([1]DATA!W116,'[1]DATA Engine'!$A$3:$H$800,2,FALSE))</f>
        <v/>
      </c>
      <c r="C125" s="19" t="str">
        <f>IFERROR(VLOOKUP([1]DATA!W116,'[1]DATA Engine'!$A$3:$H$800,3,FALSE),"")</f>
        <v/>
      </c>
      <c r="D125" s="20" t="str">
        <f>IFERROR(VLOOKUP([1]DATA!W116,'[1]DATA Engine'!$A$3:$H$800,4,FALSE),"")</f>
        <v/>
      </c>
      <c r="E125" s="20" t="str">
        <f>IFERROR(VLOOKUP([1]DATA!W116,'[1]DATA Engine'!$A$3:$H$800,5,FALSE),"")</f>
        <v/>
      </c>
      <c r="F125" s="18" t="str">
        <f>IFERROR(VLOOKUP([1]DATA!W116,'[1]DATA Engine'!$A$3:$H$800,6,FALSE),"")</f>
        <v/>
      </c>
      <c r="G125" s="18" t="str">
        <f>IFERROR(VLOOKUP([1]DATA!W116,'[1]DATA Engine'!$A$3:$H$800,7,FALSE),"")</f>
        <v/>
      </c>
      <c r="H125" s="18" t="str">
        <f>IFERROR(IF(ISNUMBER(SEARCH("GOW",VLOOKUP([1]DATA!W116,'[1]DATA Engine'!$A$3:$H$800,8,FALSE))),"GOW",""),"")</f>
        <v/>
      </c>
      <c r="I125" s="26"/>
      <c r="J125" s="24"/>
      <c r="K125" s="24"/>
      <c r="L125" s="24"/>
      <c r="M125" s="24"/>
      <c r="N125" s="24"/>
      <c r="O125" s="22"/>
      <c r="P125" s="25"/>
      <c r="Q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</row>
    <row r="126" spans="2:57" ht="15">
      <c r="B126" s="18" t="str">
        <f>IF(C126="","",VLOOKUP([1]DATA!W117,'[1]DATA Engine'!$A$3:$H$800,2,FALSE))</f>
        <v/>
      </c>
      <c r="C126" s="19" t="str">
        <f>IFERROR(VLOOKUP([1]DATA!W117,'[1]DATA Engine'!$A$3:$H$800,3,FALSE),"")</f>
        <v/>
      </c>
      <c r="D126" s="20" t="str">
        <f>IFERROR(VLOOKUP([1]DATA!W117,'[1]DATA Engine'!$A$3:$H$800,4,FALSE),"")</f>
        <v/>
      </c>
      <c r="E126" s="20" t="str">
        <f>IFERROR(VLOOKUP([1]DATA!W117,'[1]DATA Engine'!$A$3:$H$800,5,FALSE),"")</f>
        <v/>
      </c>
      <c r="F126" s="18" t="str">
        <f>IFERROR(VLOOKUP([1]DATA!W117,'[1]DATA Engine'!$A$3:$H$800,6,FALSE),"")</f>
        <v/>
      </c>
      <c r="G126" s="18" t="str">
        <f>IFERROR(VLOOKUP([1]DATA!W117,'[1]DATA Engine'!$A$3:$H$800,7,FALSE),"")</f>
        <v/>
      </c>
      <c r="H126" s="18" t="str">
        <f>IFERROR(IF(ISNUMBER(SEARCH("GOW",VLOOKUP([1]DATA!W117,'[1]DATA Engine'!$A$3:$H$800,8,FALSE))),"GOW",""),"")</f>
        <v/>
      </c>
      <c r="I126" s="26"/>
      <c r="J126" s="24"/>
      <c r="K126" s="24"/>
      <c r="L126" s="24"/>
      <c r="M126" s="24"/>
      <c r="N126" s="24"/>
      <c r="O126" s="22"/>
      <c r="P126" s="25"/>
      <c r="Q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</row>
    <row r="127" spans="2:57" ht="15">
      <c r="B127" s="18" t="str">
        <f>IF(C127="","",VLOOKUP([1]DATA!W118,'[1]DATA Engine'!$A$3:$H$800,2,FALSE))</f>
        <v/>
      </c>
      <c r="C127" s="19" t="str">
        <f>IFERROR(VLOOKUP([1]DATA!W118,'[1]DATA Engine'!$A$3:$H$800,3,FALSE),"")</f>
        <v/>
      </c>
      <c r="D127" s="20" t="str">
        <f>IFERROR(VLOOKUP([1]DATA!W118,'[1]DATA Engine'!$A$3:$H$800,4,FALSE),"")</f>
        <v/>
      </c>
      <c r="E127" s="20" t="str">
        <f>IFERROR(VLOOKUP([1]DATA!W118,'[1]DATA Engine'!$A$3:$H$800,5,FALSE),"")</f>
        <v/>
      </c>
      <c r="F127" s="18" t="str">
        <f>IFERROR(VLOOKUP([1]DATA!W118,'[1]DATA Engine'!$A$3:$H$800,6,FALSE),"")</f>
        <v/>
      </c>
      <c r="G127" s="18" t="str">
        <f>IFERROR(VLOOKUP([1]DATA!W118,'[1]DATA Engine'!$A$3:$H$800,7,FALSE),"")</f>
        <v/>
      </c>
      <c r="H127" s="18" t="str">
        <f>IFERROR(IF(ISNUMBER(SEARCH("GOW",VLOOKUP([1]DATA!W118,'[1]DATA Engine'!$A$3:$H$800,8,FALSE))),"GOW",""),"")</f>
        <v/>
      </c>
      <c r="I127" s="26"/>
      <c r="J127" s="24"/>
      <c r="K127" s="24"/>
      <c r="L127" s="24"/>
      <c r="M127" s="24"/>
      <c r="N127" s="24"/>
      <c r="O127" s="22"/>
      <c r="P127" s="25"/>
      <c r="Q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</row>
    <row r="128" spans="2:57" ht="15">
      <c r="B128" s="18" t="str">
        <f>IF(C128="","",VLOOKUP([1]DATA!W119,'[1]DATA Engine'!$A$3:$H$800,2,FALSE))</f>
        <v/>
      </c>
      <c r="C128" s="19" t="str">
        <f>IFERROR(VLOOKUP([1]DATA!W119,'[1]DATA Engine'!$A$3:$H$800,3,FALSE),"")</f>
        <v/>
      </c>
      <c r="D128" s="20" t="str">
        <f>IFERROR(VLOOKUP([1]DATA!W119,'[1]DATA Engine'!$A$3:$H$800,4,FALSE),"")</f>
        <v/>
      </c>
      <c r="E128" s="20" t="str">
        <f>IFERROR(VLOOKUP([1]DATA!W119,'[1]DATA Engine'!$A$3:$H$800,5,FALSE),"")</f>
        <v/>
      </c>
      <c r="F128" s="18" t="str">
        <f>IFERROR(VLOOKUP([1]DATA!W119,'[1]DATA Engine'!$A$3:$H$800,6,FALSE),"")</f>
        <v/>
      </c>
      <c r="G128" s="18" t="str">
        <f>IFERROR(VLOOKUP([1]DATA!W119,'[1]DATA Engine'!$A$3:$H$800,7,FALSE),"")</f>
        <v/>
      </c>
      <c r="H128" s="18" t="str">
        <f>IFERROR(IF(ISNUMBER(SEARCH("GOW",VLOOKUP([1]DATA!W119,'[1]DATA Engine'!$A$3:$H$800,8,FALSE))),"GOW",""),"")</f>
        <v/>
      </c>
      <c r="I128" s="26"/>
      <c r="J128" s="24"/>
      <c r="K128" s="24"/>
      <c r="L128" s="24"/>
      <c r="M128" s="24"/>
      <c r="N128" s="24"/>
      <c r="O128" s="22"/>
      <c r="P128" s="25"/>
      <c r="Q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</row>
    <row r="129" spans="2:57" ht="15">
      <c r="B129" s="18" t="str">
        <f>IF(C129="","",VLOOKUP([1]DATA!W120,'[1]DATA Engine'!$A$3:$H$800,2,FALSE))</f>
        <v/>
      </c>
      <c r="C129" s="19" t="str">
        <f>IFERROR(VLOOKUP([1]DATA!W120,'[1]DATA Engine'!$A$3:$H$800,3,FALSE),"")</f>
        <v/>
      </c>
      <c r="D129" s="20" t="str">
        <f>IFERROR(VLOOKUP([1]DATA!W120,'[1]DATA Engine'!$A$3:$H$800,4,FALSE),"")</f>
        <v/>
      </c>
      <c r="E129" s="20" t="str">
        <f>IFERROR(VLOOKUP([1]DATA!W120,'[1]DATA Engine'!$A$3:$H$800,5,FALSE),"")</f>
        <v/>
      </c>
      <c r="F129" s="18" t="str">
        <f>IFERROR(VLOOKUP([1]DATA!W120,'[1]DATA Engine'!$A$3:$H$800,6,FALSE),"")</f>
        <v/>
      </c>
      <c r="G129" s="18" t="str">
        <f>IFERROR(VLOOKUP([1]DATA!W120,'[1]DATA Engine'!$A$3:$H$800,7,FALSE),"")</f>
        <v/>
      </c>
      <c r="H129" s="18" t="str">
        <f>IFERROR(IF(ISNUMBER(SEARCH("GOW",VLOOKUP([1]DATA!W120,'[1]DATA Engine'!$A$3:$H$800,8,FALSE))),"GOW",""),"")</f>
        <v/>
      </c>
      <c r="I129" s="26"/>
      <c r="J129" s="24"/>
      <c r="K129" s="24"/>
      <c r="L129" s="24"/>
      <c r="M129" s="24"/>
      <c r="N129" s="24"/>
      <c r="O129" s="22"/>
      <c r="P129" s="25"/>
      <c r="Q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</row>
    <row r="130" spans="2:57" ht="15">
      <c r="B130" s="18" t="str">
        <f>IF(C130="","",VLOOKUP([1]DATA!W121,'[1]DATA Engine'!$A$3:$H$800,2,FALSE))</f>
        <v/>
      </c>
      <c r="C130" s="19" t="str">
        <f>IFERROR(VLOOKUP([1]DATA!W121,'[1]DATA Engine'!$A$3:$H$800,3,FALSE),"")</f>
        <v/>
      </c>
      <c r="D130" s="20" t="str">
        <f>IFERROR(VLOOKUP([1]DATA!W121,'[1]DATA Engine'!$A$3:$H$800,4,FALSE),"")</f>
        <v/>
      </c>
      <c r="E130" s="20" t="str">
        <f>IFERROR(VLOOKUP([1]DATA!W121,'[1]DATA Engine'!$A$3:$H$800,5,FALSE),"")</f>
        <v/>
      </c>
      <c r="F130" s="18" t="str">
        <f>IFERROR(VLOOKUP([1]DATA!W121,'[1]DATA Engine'!$A$3:$H$800,6,FALSE),"")</f>
        <v/>
      </c>
      <c r="G130" s="18" t="str">
        <f>IFERROR(VLOOKUP([1]DATA!W121,'[1]DATA Engine'!$A$3:$H$800,7,FALSE),"")</f>
        <v/>
      </c>
      <c r="H130" s="18" t="str">
        <f>IFERROR(IF(ISNUMBER(SEARCH("GOW",VLOOKUP([1]DATA!W121,'[1]DATA Engine'!$A$3:$H$800,8,FALSE))),"GOW",""),"")</f>
        <v/>
      </c>
      <c r="I130" s="26"/>
      <c r="J130" s="24"/>
      <c r="K130" s="24"/>
      <c r="L130" s="24"/>
      <c r="M130" s="24"/>
      <c r="N130" s="24"/>
      <c r="O130" s="22"/>
      <c r="P130" s="25"/>
      <c r="Q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</row>
    <row r="131" spans="2:57" ht="15">
      <c r="B131" s="18" t="str">
        <f>IF(C131="","",VLOOKUP([1]DATA!W122,'[1]DATA Engine'!$A$3:$H$800,2,FALSE))</f>
        <v/>
      </c>
      <c r="C131" s="19" t="str">
        <f>IFERROR(VLOOKUP([1]DATA!W122,'[1]DATA Engine'!$A$3:$H$800,3,FALSE),"")</f>
        <v/>
      </c>
      <c r="D131" s="20" t="str">
        <f>IFERROR(VLOOKUP([1]DATA!W122,'[1]DATA Engine'!$A$3:$H$800,4,FALSE),"")</f>
        <v/>
      </c>
      <c r="E131" s="20" t="str">
        <f>IFERROR(VLOOKUP([1]DATA!W122,'[1]DATA Engine'!$A$3:$H$800,5,FALSE),"")</f>
        <v/>
      </c>
      <c r="F131" s="18" t="str">
        <f>IFERROR(VLOOKUP([1]DATA!W122,'[1]DATA Engine'!$A$3:$H$800,6,FALSE),"")</f>
        <v/>
      </c>
      <c r="G131" s="18" t="str">
        <f>IFERROR(VLOOKUP([1]DATA!W122,'[1]DATA Engine'!$A$3:$H$800,7,FALSE),"")</f>
        <v/>
      </c>
      <c r="H131" s="18" t="str">
        <f>IFERROR(IF(ISNUMBER(SEARCH("GOW",VLOOKUP([1]DATA!W122,'[1]DATA Engine'!$A$3:$H$800,8,FALSE))),"GOW",""),"")</f>
        <v/>
      </c>
      <c r="I131" s="26"/>
      <c r="J131" s="24"/>
      <c r="K131" s="24"/>
      <c r="L131" s="24"/>
      <c r="M131" s="24"/>
      <c r="N131" s="24"/>
      <c r="O131" s="22"/>
      <c r="P131" s="25"/>
      <c r="Q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</row>
    <row r="132" spans="2:57" ht="15">
      <c r="B132" s="18" t="str">
        <f>IF(C132="","",VLOOKUP([1]DATA!W123,'[1]DATA Engine'!$A$3:$H$800,2,FALSE))</f>
        <v/>
      </c>
      <c r="C132" s="19" t="str">
        <f>IFERROR(VLOOKUP([1]DATA!W123,'[1]DATA Engine'!$A$3:$H$800,3,FALSE),"")</f>
        <v/>
      </c>
      <c r="D132" s="20" t="str">
        <f>IFERROR(VLOOKUP([1]DATA!W123,'[1]DATA Engine'!$A$3:$H$800,4,FALSE),"")</f>
        <v/>
      </c>
      <c r="E132" s="20" t="str">
        <f>IFERROR(VLOOKUP([1]DATA!W123,'[1]DATA Engine'!$A$3:$H$800,5,FALSE),"")</f>
        <v/>
      </c>
      <c r="F132" s="18" t="str">
        <f>IFERROR(VLOOKUP([1]DATA!W123,'[1]DATA Engine'!$A$3:$H$800,6,FALSE),"")</f>
        <v/>
      </c>
      <c r="G132" s="18" t="str">
        <f>IFERROR(VLOOKUP([1]DATA!W123,'[1]DATA Engine'!$A$3:$H$800,7,FALSE),"")</f>
        <v/>
      </c>
      <c r="H132" s="18" t="str">
        <f>IFERROR(IF(ISNUMBER(SEARCH("GOW",VLOOKUP([1]DATA!W123,'[1]DATA Engine'!$A$3:$H$800,8,FALSE))),"GOW",""),"")</f>
        <v/>
      </c>
      <c r="I132" s="26"/>
      <c r="J132" s="24"/>
      <c r="K132" s="24"/>
      <c r="L132" s="24"/>
      <c r="M132" s="24"/>
      <c r="N132" s="24"/>
      <c r="O132" s="22"/>
      <c r="P132" s="25"/>
      <c r="Q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</row>
    <row r="133" spans="2:57" ht="15">
      <c r="B133" s="18" t="str">
        <f>IF(C133="","",VLOOKUP([1]DATA!W124,'[1]DATA Engine'!$A$3:$H$800,2,FALSE))</f>
        <v/>
      </c>
      <c r="C133" s="19" t="str">
        <f>IFERROR(VLOOKUP([1]DATA!W124,'[1]DATA Engine'!$A$3:$H$800,3,FALSE),"")</f>
        <v/>
      </c>
      <c r="D133" s="20" t="str">
        <f>IFERROR(VLOOKUP([1]DATA!W124,'[1]DATA Engine'!$A$3:$H$800,4,FALSE),"")</f>
        <v/>
      </c>
      <c r="E133" s="20" t="str">
        <f>IFERROR(VLOOKUP([1]DATA!W124,'[1]DATA Engine'!$A$3:$H$800,5,FALSE),"")</f>
        <v/>
      </c>
      <c r="F133" s="18" t="str">
        <f>IFERROR(VLOOKUP([1]DATA!W124,'[1]DATA Engine'!$A$3:$H$800,6,FALSE),"")</f>
        <v/>
      </c>
      <c r="G133" s="18" t="str">
        <f>IFERROR(VLOOKUP([1]DATA!W124,'[1]DATA Engine'!$A$3:$H$800,7,FALSE),"")</f>
        <v/>
      </c>
      <c r="H133" s="18" t="str">
        <f>IFERROR(IF(ISNUMBER(SEARCH("GOW",VLOOKUP([1]DATA!W124,'[1]DATA Engine'!$A$3:$H$800,8,FALSE))),"GOW",""),"")</f>
        <v/>
      </c>
      <c r="I133" s="26"/>
      <c r="J133" s="24"/>
      <c r="K133" s="24"/>
      <c r="L133" s="24"/>
      <c r="M133" s="24"/>
      <c r="N133" s="24"/>
      <c r="O133" s="22"/>
      <c r="P133" s="25"/>
      <c r="Q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</row>
    <row r="134" spans="2:57" ht="15">
      <c r="B134" s="18" t="str">
        <f>IF(C134="","",VLOOKUP([1]DATA!W125,'[1]DATA Engine'!$A$3:$H$800,2,FALSE))</f>
        <v/>
      </c>
      <c r="C134" s="19" t="str">
        <f>IFERROR(VLOOKUP([1]DATA!W125,'[1]DATA Engine'!$A$3:$H$800,3,FALSE),"")</f>
        <v/>
      </c>
      <c r="D134" s="20" t="str">
        <f>IFERROR(VLOOKUP([1]DATA!W125,'[1]DATA Engine'!$A$3:$H$800,4,FALSE),"")</f>
        <v/>
      </c>
      <c r="E134" s="20" t="str">
        <f>IFERROR(VLOOKUP([1]DATA!W125,'[1]DATA Engine'!$A$3:$H$800,5,FALSE),"")</f>
        <v/>
      </c>
      <c r="F134" s="18" t="str">
        <f>IFERROR(VLOOKUP([1]DATA!W125,'[1]DATA Engine'!$A$3:$H$800,6,FALSE),"")</f>
        <v/>
      </c>
      <c r="G134" s="18" t="str">
        <f>IFERROR(VLOOKUP([1]DATA!W125,'[1]DATA Engine'!$A$3:$H$800,7,FALSE),"")</f>
        <v/>
      </c>
      <c r="H134" s="18" t="str">
        <f>IFERROR(IF(ISNUMBER(SEARCH("GOW",VLOOKUP([1]DATA!W125,'[1]DATA Engine'!$A$3:$H$800,8,FALSE))),"GOW",""),"")</f>
        <v/>
      </c>
      <c r="I134" s="26"/>
      <c r="J134" s="24"/>
      <c r="K134" s="24"/>
      <c r="L134" s="24"/>
      <c r="M134" s="24"/>
      <c r="N134" s="24"/>
      <c r="O134" s="22"/>
      <c r="P134" s="25"/>
      <c r="Q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</row>
    <row r="135" spans="2:57" ht="15">
      <c r="B135" s="18" t="str">
        <f>IF(C135="","",VLOOKUP([1]DATA!W126,'[1]DATA Engine'!$A$3:$H$800,2,FALSE))</f>
        <v/>
      </c>
      <c r="C135" s="19" t="str">
        <f>IFERROR(VLOOKUP([1]DATA!W126,'[1]DATA Engine'!$A$3:$H$800,3,FALSE),"")</f>
        <v/>
      </c>
      <c r="D135" s="20" t="str">
        <f>IFERROR(VLOOKUP([1]DATA!W126,'[1]DATA Engine'!$A$3:$H$800,4,FALSE),"")</f>
        <v/>
      </c>
      <c r="E135" s="20" t="str">
        <f>IFERROR(VLOOKUP([1]DATA!W126,'[1]DATA Engine'!$A$3:$H$800,5,FALSE),"")</f>
        <v/>
      </c>
      <c r="F135" s="18" t="str">
        <f>IFERROR(VLOOKUP([1]DATA!W126,'[1]DATA Engine'!$A$3:$H$800,6,FALSE),"")</f>
        <v/>
      </c>
      <c r="G135" s="18" t="str">
        <f>IFERROR(VLOOKUP([1]DATA!W126,'[1]DATA Engine'!$A$3:$H$800,7,FALSE),"")</f>
        <v/>
      </c>
      <c r="H135" s="18" t="str">
        <f>IFERROR(IF(ISNUMBER(SEARCH("GOW",VLOOKUP([1]DATA!W126,'[1]DATA Engine'!$A$3:$H$800,8,FALSE))),"GOW",""),"")</f>
        <v/>
      </c>
      <c r="I135" s="26"/>
      <c r="J135" s="24"/>
      <c r="K135" s="24"/>
      <c r="L135" s="24"/>
      <c r="M135" s="24"/>
      <c r="N135" s="24"/>
      <c r="O135" s="22"/>
      <c r="P135" s="25"/>
      <c r="Q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</row>
    <row r="136" spans="2:57" ht="15">
      <c r="B136" s="18" t="str">
        <f>IF(C136="","",VLOOKUP([1]DATA!W127,'[1]DATA Engine'!$A$3:$H$800,2,FALSE))</f>
        <v/>
      </c>
      <c r="C136" s="19" t="str">
        <f>IFERROR(VLOOKUP([1]DATA!W127,'[1]DATA Engine'!$A$3:$H$800,3,FALSE),"")</f>
        <v/>
      </c>
      <c r="D136" s="20" t="str">
        <f>IFERROR(VLOOKUP([1]DATA!W127,'[1]DATA Engine'!$A$3:$H$800,4,FALSE),"")</f>
        <v/>
      </c>
      <c r="E136" s="20" t="str">
        <f>IFERROR(VLOOKUP([1]DATA!W127,'[1]DATA Engine'!$A$3:$H$800,5,FALSE),"")</f>
        <v/>
      </c>
      <c r="F136" s="18" t="str">
        <f>IFERROR(VLOOKUP([1]DATA!W127,'[1]DATA Engine'!$A$3:$H$800,6,FALSE),"")</f>
        <v/>
      </c>
      <c r="G136" s="18" t="str">
        <f>IFERROR(VLOOKUP([1]DATA!W127,'[1]DATA Engine'!$A$3:$H$800,7,FALSE),"")</f>
        <v/>
      </c>
      <c r="H136" s="18" t="str">
        <f>IFERROR(IF(ISNUMBER(SEARCH("GOW",VLOOKUP([1]DATA!W127,'[1]DATA Engine'!$A$3:$H$800,8,FALSE))),"GOW",""),"")</f>
        <v/>
      </c>
      <c r="I136" s="26"/>
      <c r="J136" s="24"/>
      <c r="K136" s="24"/>
      <c r="L136" s="24"/>
      <c r="M136" s="24"/>
      <c r="N136" s="24"/>
      <c r="O136" s="22"/>
      <c r="P136" s="25"/>
      <c r="Q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</row>
    <row r="137" spans="2:57" ht="15">
      <c r="B137" s="18" t="str">
        <f>IF(C137="","",VLOOKUP([1]DATA!W128,'[1]DATA Engine'!$A$3:$H$800,2,FALSE))</f>
        <v/>
      </c>
      <c r="C137" s="19" t="str">
        <f>IFERROR(VLOOKUP([1]DATA!W128,'[1]DATA Engine'!$A$3:$H$800,3,FALSE),"")</f>
        <v/>
      </c>
      <c r="D137" s="20" t="str">
        <f>IFERROR(VLOOKUP([1]DATA!W128,'[1]DATA Engine'!$A$3:$H$800,4,FALSE),"")</f>
        <v/>
      </c>
      <c r="E137" s="20" t="str">
        <f>IFERROR(VLOOKUP([1]DATA!W128,'[1]DATA Engine'!$A$3:$H$800,5,FALSE),"")</f>
        <v/>
      </c>
      <c r="F137" s="18" t="str">
        <f>IFERROR(VLOOKUP([1]DATA!W128,'[1]DATA Engine'!$A$3:$H$800,6,FALSE),"")</f>
        <v/>
      </c>
      <c r="G137" s="18" t="str">
        <f>IFERROR(VLOOKUP([1]DATA!W128,'[1]DATA Engine'!$A$3:$H$800,7,FALSE),"")</f>
        <v/>
      </c>
      <c r="H137" s="18" t="str">
        <f>IFERROR(IF(ISNUMBER(SEARCH("GOW",VLOOKUP([1]DATA!W128,'[1]DATA Engine'!$A$3:$H$800,8,FALSE))),"GOW",""),"")</f>
        <v/>
      </c>
      <c r="I137" s="26"/>
      <c r="J137" s="24"/>
      <c r="K137" s="24"/>
      <c r="L137" s="24"/>
      <c r="M137" s="24"/>
      <c r="N137" s="24"/>
      <c r="O137" s="22"/>
      <c r="P137" s="25"/>
      <c r="Q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</row>
    <row r="138" spans="2:57" ht="15">
      <c r="B138" s="18" t="str">
        <f>IF(C138="","",VLOOKUP([1]DATA!W129,'[1]DATA Engine'!$A$3:$H$800,2,FALSE))</f>
        <v/>
      </c>
      <c r="C138" s="19" t="str">
        <f>IFERROR(VLOOKUP([1]DATA!W129,'[1]DATA Engine'!$A$3:$H$800,3,FALSE),"")</f>
        <v/>
      </c>
      <c r="D138" s="20" t="str">
        <f>IFERROR(VLOOKUP([1]DATA!W129,'[1]DATA Engine'!$A$3:$H$800,4,FALSE),"")</f>
        <v/>
      </c>
      <c r="E138" s="20" t="str">
        <f>IFERROR(VLOOKUP([1]DATA!W129,'[1]DATA Engine'!$A$3:$H$800,5,FALSE),"")</f>
        <v/>
      </c>
      <c r="F138" s="18" t="str">
        <f>IFERROR(VLOOKUP([1]DATA!W129,'[1]DATA Engine'!$A$3:$H$800,6,FALSE),"")</f>
        <v/>
      </c>
      <c r="G138" s="18" t="str">
        <f>IFERROR(VLOOKUP([1]DATA!W129,'[1]DATA Engine'!$A$3:$H$800,7,FALSE),"")</f>
        <v/>
      </c>
      <c r="H138" s="18" t="str">
        <f>IFERROR(IF(ISNUMBER(SEARCH("GOW",VLOOKUP([1]DATA!W129,'[1]DATA Engine'!$A$3:$H$800,8,FALSE))),"GOW",""),"")</f>
        <v/>
      </c>
      <c r="I138" s="26"/>
      <c r="J138" s="24"/>
      <c r="K138" s="24"/>
      <c r="L138" s="24"/>
      <c r="M138" s="24"/>
      <c r="N138" s="24"/>
      <c r="O138" s="22"/>
      <c r="P138" s="25"/>
      <c r="Q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</row>
    <row r="139" spans="2:57" ht="15">
      <c r="B139" s="18" t="str">
        <f>IF(C139="","",VLOOKUP([1]DATA!W130,'[1]DATA Engine'!$A$3:$H$800,2,FALSE))</f>
        <v/>
      </c>
      <c r="C139" s="19" t="str">
        <f>IFERROR(VLOOKUP([1]DATA!W130,'[1]DATA Engine'!$A$3:$H$800,3,FALSE),"")</f>
        <v/>
      </c>
      <c r="D139" s="20" t="str">
        <f>IFERROR(VLOOKUP([1]DATA!W130,'[1]DATA Engine'!$A$3:$H$800,4,FALSE),"")</f>
        <v/>
      </c>
      <c r="E139" s="20" t="str">
        <f>IFERROR(VLOOKUP([1]DATA!W130,'[1]DATA Engine'!$A$3:$H$800,5,FALSE),"")</f>
        <v/>
      </c>
      <c r="F139" s="18" t="str">
        <f>IFERROR(VLOOKUP([1]DATA!W130,'[1]DATA Engine'!$A$3:$H$800,6,FALSE),"")</f>
        <v/>
      </c>
      <c r="G139" s="18" t="str">
        <f>IFERROR(VLOOKUP([1]DATA!W130,'[1]DATA Engine'!$A$3:$H$800,7,FALSE),"")</f>
        <v/>
      </c>
      <c r="H139" s="18" t="str">
        <f>IFERROR(IF(ISNUMBER(SEARCH("GOW",VLOOKUP([1]DATA!W130,'[1]DATA Engine'!$A$3:$H$800,8,FALSE))),"GOW",""),"")</f>
        <v/>
      </c>
      <c r="I139" s="26"/>
      <c r="J139" s="24"/>
      <c r="K139" s="24"/>
      <c r="L139" s="24"/>
      <c r="M139" s="24"/>
      <c r="N139" s="24"/>
      <c r="O139" s="22"/>
      <c r="P139" s="25"/>
      <c r="Q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</row>
    <row r="140" spans="2:57" ht="15">
      <c r="B140" s="18" t="str">
        <f>IF(C140="","",VLOOKUP([1]DATA!W131,'[1]DATA Engine'!$A$3:$H$800,2,FALSE))</f>
        <v/>
      </c>
      <c r="C140" s="19" t="str">
        <f>IFERROR(VLOOKUP([1]DATA!W131,'[1]DATA Engine'!$A$3:$H$800,3,FALSE),"")</f>
        <v/>
      </c>
      <c r="D140" s="20" t="str">
        <f>IFERROR(VLOOKUP([1]DATA!W131,'[1]DATA Engine'!$A$3:$H$800,4,FALSE),"")</f>
        <v/>
      </c>
      <c r="E140" s="20" t="str">
        <f>IFERROR(VLOOKUP([1]DATA!W131,'[1]DATA Engine'!$A$3:$H$800,5,FALSE),"")</f>
        <v/>
      </c>
      <c r="F140" s="18" t="str">
        <f>IFERROR(VLOOKUP([1]DATA!W131,'[1]DATA Engine'!$A$3:$H$800,6,FALSE),"")</f>
        <v/>
      </c>
      <c r="G140" s="18" t="str">
        <f>IFERROR(VLOOKUP([1]DATA!W131,'[1]DATA Engine'!$A$3:$H$800,7,FALSE),"")</f>
        <v/>
      </c>
      <c r="H140" s="18" t="str">
        <f>IFERROR(IF(ISNUMBER(SEARCH("GOW",VLOOKUP([1]DATA!W131,'[1]DATA Engine'!$A$3:$H$800,8,FALSE))),"GOW",""),"")</f>
        <v/>
      </c>
      <c r="I140" s="26"/>
      <c r="J140" s="24"/>
      <c r="K140" s="24"/>
      <c r="L140" s="24"/>
      <c r="M140" s="24"/>
      <c r="N140" s="24"/>
      <c r="O140" s="22"/>
      <c r="P140" s="25"/>
      <c r="Q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</row>
    <row r="141" spans="2:57" ht="15">
      <c r="B141" s="18" t="str">
        <f>IF(C141="","",VLOOKUP([1]DATA!W132,'[1]DATA Engine'!$A$3:$H$800,2,FALSE))</f>
        <v/>
      </c>
      <c r="C141" s="19" t="str">
        <f>IFERROR(VLOOKUP([1]DATA!W132,'[1]DATA Engine'!$A$3:$H$800,3,FALSE),"")</f>
        <v/>
      </c>
      <c r="D141" s="20" t="str">
        <f>IFERROR(VLOOKUP([1]DATA!W132,'[1]DATA Engine'!$A$3:$H$800,4,FALSE),"")</f>
        <v/>
      </c>
      <c r="E141" s="20" t="str">
        <f>IFERROR(VLOOKUP([1]DATA!W132,'[1]DATA Engine'!$A$3:$H$800,5,FALSE),"")</f>
        <v/>
      </c>
      <c r="F141" s="18" t="str">
        <f>IFERROR(VLOOKUP([1]DATA!W132,'[1]DATA Engine'!$A$3:$H$800,6,FALSE),"")</f>
        <v/>
      </c>
      <c r="G141" s="18" t="str">
        <f>IFERROR(VLOOKUP([1]DATA!W132,'[1]DATA Engine'!$A$3:$H$800,7,FALSE),"")</f>
        <v/>
      </c>
      <c r="H141" s="18" t="str">
        <f>IFERROR(IF(ISNUMBER(SEARCH("GOW",VLOOKUP([1]DATA!W132,'[1]DATA Engine'!$A$3:$H$800,8,FALSE))),"GOW",""),"")</f>
        <v/>
      </c>
      <c r="I141" s="26"/>
      <c r="J141" s="24"/>
      <c r="K141" s="24"/>
      <c r="L141" s="24"/>
      <c r="M141" s="24"/>
      <c r="N141" s="24"/>
      <c r="O141" s="22"/>
      <c r="P141" s="25"/>
      <c r="Q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</row>
    <row r="142" spans="2:57" ht="15">
      <c r="B142" s="18" t="str">
        <f>IF(C142="","",VLOOKUP([1]DATA!W133,'[1]DATA Engine'!$A$3:$H$800,2,FALSE))</f>
        <v/>
      </c>
      <c r="C142" s="19" t="str">
        <f>IFERROR(VLOOKUP([1]DATA!W133,'[1]DATA Engine'!$A$3:$H$800,3,FALSE),"")</f>
        <v/>
      </c>
      <c r="D142" s="20" t="str">
        <f>IFERROR(VLOOKUP([1]DATA!W133,'[1]DATA Engine'!$A$3:$H$800,4,FALSE),"")</f>
        <v/>
      </c>
      <c r="E142" s="20" t="str">
        <f>IFERROR(VLOOKUP([1]DATA!W133,'[1]DATA Engine'!$A$3:$H$800,5,FALSE),"")</f>
        <v/>
      </c>
      <c r="F142" s="18" t="str">
        <f>IFERROR(VLOOKUP([1]DATA!W133,'[1]DATA Engine'!$A$3:$H$800,6,FALSE),"")</f>
        <v/>
      </c>
      <c r="G142" s="18" t="str">
        <f>IFERROR(VLOOKUP([1]DATA!W133,'[1]DATA Engine'!$A$3:$H$800,7,FALSE),"")</f>
        <v/>
      </c>
      <c r="H142" s="18" t="str">
        <f>IFERROR(IF(ISNUMBER(SEARCH("GOW",VLOOKUP([1]DATA!W133,'[1]DATA Engine'!$A$3:$H$800,8,FALSE))),"GOW",""),"")</f>
        <v/>
      </c>
      <c r="I142" s="26"/>
      <c r="J142" s="24"/>
      <c r="K142" s="24"/>
      <c r="L142" s="24"/>
      <c r="M142" s="24"/>
      <c r="N142" s="24"/>
      <c r="O142" s="22"/>
      <c r="P142" s="25"/>
      <c r="Q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</row>
    <row r="143" spans="2:57" ht="15">
      <c r="B143" s="18" t="str">
        <f>IF(C143="","",VLOOKUP([1]DATA!W134,'[1]DATA Engine'!$A$3:$H$800,2,FALSE))</f>
        <v/>
      </c>
      <c r="C143" s="19" t="str">
        <f>IFERROR(VLOOKUP([1]DATA!W134,'[1]DATA Engine'!$A$3:$H$800,3,FALSE),"")</f>
        <v/>
      </c>
      <c r="D143" s="20" t="str">
        <f>IFERROR(VLOOKUP([1]DATA!W134,'[1]DATA Engine'!$A$3:$H$800,4,FALSE),"")</f>
        <v/>
      </c>
      <c r="E143" s="20" t="str">
        <f>IFERROR(VLOOKUP([1]DATA!W134,'[1]DATA Engine'!$A$3:$H$800,5,FALSE),"")</f>
        <v/>
      </c>
      <c r="F143" s="18" t="str">
        <f>IFERROR(VLOOKUP([1]DATA!W134,'[1]DATA Engine'!$A$3:$H$800,6,FALSE),"")</f>
        <v/>
      </c>
      <c r="G143" s="18" t="str">
        <f>IFERROR(VLOOKUP([1]DATA!W134,'[1]DATA Engine'!$A$3:$H$800,7,FALSE),"")</f>
        <v/>
      </c>
      <c r="H143" s="18" t="str">
        <f>IFERROR(IF(ISNUMBER(SEARCH("GOW",VLOOKUP([1]DATA!W134,'[1]DATA Engine'!$A$3:$H$800,8,FALSE))),"GOW",""),"")</f>
        <v/>
      </c>
      <c r="I143" s="26"/>
      <c r="J143" s="24"/>
      <c r="K143" s="24"/>
      <c r="L143" s="24"/>
      <c r="M143" s="24"/>
      <c r="N143" s="24"/>
      <c r="O143" s="22"/>
      <c r="P143" s="25"/>
      <c r="Q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</row>
    <row r="144" spans="2:57" ht="15">
      <c r="B144" s="18" t="str">
        <f>IF(C144="","",VLOOKUP([1]DATA!W135,'[1]DATA Engine'!$A$3:$H$800,2,FALSE))</f>
        <v/>
      </c>
      <c r="C144" s="19" t="str">
        <f>IFERROR(VLOOKUP([1]DATA!W135,'[1]DATA Engine'!$A$3:$H$800,3,FALSE),"")</f>
        <v/>
      </c>
      <c r="D144" s="20" t="str">
        <f>IFERROR(VLOOKUP([1]DATA!W135,'[1]DATA Engine'!$A$3:$H$800,4,FALSE),"")</f>
        <v/>
      </c>
      <c r="E144" s="20" t="str">
        <f>IFERROR(VLOOKUP([1]DATA!W135,'[1]DATA Engine'!$A$3:$H$800,5,FALSE),"")</f>
        <v/>
      </c>
      <c r="F144" s="18" t="str">
        <f>IFERROR(VLOOKUP([1]DATA!W135,'[1]DATA Engine'!$A$3:$H$800,6,FALSE),"")</f>
        <v/>
      </c>
      <c r="G144" s="18" t="str">
        <f>IFERROR(VLOOKUP([1]DATA!W135,'[1]DATA Engine'!$A$3:$H$800,7,FALSE),"")</f>
        <v/>
      </c>
      <c r="H144" s="18" t="str">
        <f>IFERROR(IF(ISNUMBER(SEARCH("GOW",VLOOKUP([1]DATA!W135,'[1]DATA Engine'!$A$3:$H$800,8,FALSE))),"GOW",""),"")</f>
        <v/>
      </c>
      <c r="I144" s="26"/>
      <c r="J144" s="24"/>
      <c r="K144" s="24"/>
      <c r="L144" s="24"/>
      <c r="M144" s="24"/>
      <c r="N144" s="24"/>
      <c r="O144" s="22"/>
      <c r="P144" s="25"/>
      <c r="Q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</row>
    <row r="145" spans="2:57" ht="15">
      <c r="B145" s="18" t="str">
        <f>IF(C145="","",VLOOKUP([1]DATA!W136,'[1]DATA Engine'!$A$3:$H$800,2,FALSE))</f>
        <v/>
      </c>
      <c r="C145" s="19" t="str">
        <f>IFERROR(VLOOKUP([1]DATA!W136,'[1]DATA Engine'!$A$3:$H$800,3,FALSE),"")</f>
        <v/>
      </c>
      <c r="D145" s="20" t="str">
        <f>IFERROR(VLOOKUP([1]DATA!W136,'[1]DATA Engine'!$A$3:$H$800,4,FALSE),"")</f>
        <v/>
      </c>
      <c r="E145" s="20" t="str">
        <f>IFERROR(VLOOKUP([1]DATA!W136,'[1]DATA Engine'!$A$3:$H$800,5,FALSE),"")</f>
        <v/>
      </c>
      <c r="F145" s="18" t="str">
        <f>IFERROR(VLOOKUP([1]DATA!W136,'[1]DATA Engine'!$A$3:$H$800,6,FALSE),"")</f>
        <v/>
      </c>
      <c r="G145" s="18" t="str">
        <f>IFERROR(VLOOKUP([1]DATA!W136,'[1]DATA Engine'!$A$3:$H$800,7,FALSE),"")</f>
        <v/>
      </c>
      <c r="H145" s="18" t="str">
        <f>IFERROR(IF(ISNUMBER(SEARCH("GOW",VLOOKUP([1]DATA!W136,'[1]DATA Engine'!$A$3:$H$800,8,FALSE))),"GOW",""),"")</f>
        <v/>
      </c>
      <c r="I145" s="26"/>
      <c r="J145" s="24"/>
      <c r="K145" s="24"/>
      <c r="L145" s="24"/>
      <c r="M145" s="24"/>
      <c r="N145" s="24"/>
      <c r="O145" s="22"/>
      <c r="P145" s="25"/>
      <c r="Q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</row>
    <row r="146" spans="2:57" ht="15">
      <c r="B146" s="18" t="str">
        <f>IF(C146="","",VLOOKUP([1]DATA!W137,'[1]DATA Engine'!$A$3:$H$800,2,FALSE))</f>
        <v/>
      </c>
      <c r="C146" s="19" t="str">
        <f>IFERROR(VLOOKUP([1]DATA!W137,'[1]DATA Engine'!$A$3:$H$800,3,FALSE),"")</f>
        <v/>
      </c>
      <c r="D146" s="20" t="str">
        <f>IFERROR(VLOOKUP([1]DATA!W137,'[1]DATA Engine'!$A$3:$H$800,4,FALSE),"")</f>
        <v/>
      </c>
      <c r="E146" s="20" t="str">
        <f>IFERROR(VLOOKUP([1]DATA!W137,'[1]DATA Engine'!$A$3:$H$800,5,FALSE),"")</f>
        <v/>
      </c>
      <c r="F146" s="18" t="str">
        <f>IFERROR(VLOOKUP([1]DATA!W137,'[1]DATA Engine'!$A$3:$H$800,6,FALSE),"")</f>
        <v/>
      </c>
      <c r="G146" s="18" t="str">
        <f>IFERROR(VLOOKUP([1]DATA!W137,'[1]DATA Engine'!$A$3:$H$800,7,FALSE),"")</f>
        <v/>
      </c>
      <c r="H146" s="18" t="str">
        <f>IFERROR(IF(ISNUMBER(SEARCH("GOW",VLOOKUP([1]DATA!W137,'[1]DATA Engine'!$A$3:$H$800,8,FALSE))),"GOW",""),"")</f>
        <v/>
      </c>
      <c r="I146" s="26"/>
      <c r="J146" s="24"/>
      <c r="K146" s="24"/>
      <c r="L146" s="24"/>
      <c r="M146" s="24"/>
      <c r="N146" s="24"/>
      <c r="O146" s="22"/>
      <c r="P146" s="25"/>
      <c r="Q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</row>
    <row r="147" spans="2:57" ht="15">
      <c r="B147" s="18" t="str">
        <f>IF(C147="","",VLOOKUP([1]DATA!W138,'[1]DATA Engine'!$A$3:$H$800,2,FALSE))</f>
        <v/>
      </c>
      <c r="C147" s="19" t="str">
        <f>IFERROR(VLOOKUP([1]DATA!W138,'[1]DATA Engine'!$A$3:$H$800,3,FALSE),"")</f>
        <v/>
      </c>
      <c r="D147" s="20" t="str">
        <f>IFERROR(VLOOKUP([1]DATA!W138,'[1]DATA Engine'!$A$3:$H$800,4,FALSE),"")</f>
        <v/>
      </c>
      <c r="E147" s="20" t="str">
        <f>IFERROR(VLOOKUP([1]DATA!W138,'[1]DATA Engine'!$A$3:$H$800,5,FALSE),"")</f>
        <v/>
      </c>
      <c r="F147" s="18" t="str">
        <f>IFERROR(VLOOKUP([1]DATA!W138,'[1]DATA Engine'!$A$3:$H$800,6,FALSE),"")</f>
        <v/>
      </c>
      <c r="G147" s="18" t="str">
        <f>IFERROR(VLOOKUP([1]DATA!W138,'[1]DATA Engine'!$A$3:$H$800,7,FALSE),"")</f>
        <v/>
      </c>
      <c r="H147" s="18" t="str">
        <f>IFERROR(IF(ISNUMBER(SEARCH("GOW",VLOOKUP([1]DATA!W138,'[1]DATA Engine'!$A$3:$H$800,8,FALSE))),"GOW",""),"")</f>
        <v/>
      </c>
      <c r="I147" s="26"/>
      <c r="J147" s="24"/>
      <c r="K147" s="24"/>
      <c r="L147" s="24"/>
      <c r="M147" s="24"/>
      <c r="N147" s="24"/>
      <c r="O147" s="22"/>
      <c r="P147" s="25"/>
      <c r="Q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</row>
    <row r="148" spans="2:57" ht="15">
      <c r="B148" s="18" t="str">
        <f>IF(C148="","",VLOOKUP([1]DATA!W139,'[1]DATA Engine'!$A$3:$H$800,2,FALSE))</f>
        <v/>
      </c>
      <c r="C148" s="19" t="str">
        <f>IFERROR(VLOOKUP([1]DATA!W139,'[1]DATA Engine'!$A$3:$H$800,3,FALSE),"")</f>
        <v/>
      </c>
      <c r="D148" s="20" t="str">
        <f>IFERROR(VLOOKUP([1]DATA!W139,'[1]DATA Engine'!$A$3:$H$800,4,FALSE),"")</f>
        <v/>
      </c>
      <c r="E148" s="20" t="str">
        <f>IFERROR(VLOOKUP([1]DATA!W139,'[1]DATA Engine'!$A$3:$H$800,5,FALSE),"")</f>
        <v/>
      </c>
      <c r="F148" s="18" t="str">
        <f>IFERROR(VLOOKUP([1]DATA!W139,'[1]DATA Engine'!$A$3:$H$800,6,FALSE),"")</f>
        <v/>
      </c>
      <c r="G148" s="18" t="str">
        <f>IFERROR(VLOOKUP([1]DATA!W139,'[1]DATA Engine'!$A$3:$H$800,7,FALSE),"")</f>
        <v/>
      </c>
      <c r="H148" s="18" t="str">
        <f>IFERROR(IF(ISNUMBER(SEARCH("GOW",VLOOKUP([1]DATA!W139,'[1]DATA Engine'!$A$3:$H$800,8,FALSE))),"GOW",""),"")</f>
        <v/>
      </c>
      <c r="I148" s="26"/>
      <c r="J148" s="24"/>
      <c r="K148" s="24"/>
      <c r="L148" s="24"/>
      <c r="M148" s="24"/>
      <c r="N148" s="24"/>
      <c r="O148" s="22"/>
      <c r="P148" s="25"/>
      <c r="Q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</row>
    <row r="149" spans="2:57" ht="15">
      <c r="B149" s="18" t="str">
        <f>IF(C149="","",VLOOKUP([1]DATA!W140,'[1]DATA Engine'!$A$3:$H$800,2,FALSE))</f>
        <v/>
      </c>
      <c r="C149" s="19" t="str">
        <f>IFERROR(VLOOKUP([1]DATA!W140,'[1]DATA Engine'!$A$3:$H$800,3,FALSE),"")</f>
        <v/>
      </c>
      <c r="D149" s="20" t="str">
        <f>IFERROR(VLOOKUP([1]DATA!W140,'[1]DATA Engine'!$A$3:$H$800,4,FALSE),"")</f>
        <v/>
      </c>
      <c r="E149" s="20" t="str">
        <f>IFERROR(VLOOKUP([1]DATA!W140,'[1]DATA Engine'!$A$3:$H$800,5,FALSE),"")</f>
        <v/>
      </c>
      <c r="F149" s="18" t="str">
        <f>IFERROR(VLOOKUP([1]DATA!W140,'[1]DATA Engine'!$A$3:$H$800,6,FALSE),"")</f>
        <v/>
      </c>
      <c r="G149" s="18" t="str">
        <f>IFERROR(VLOOKUP([1]DATA!W140,'[1]DATA Engine'!$A$3:$H$800,7,FALSE),"")</f>
        <v/>
      </c>
      <c r="H149" s="18" t="str">
        <f>IFERROR(IF(ISNUMBER(SEARCH("GOW",VLOOKUP([1]DATA!W140,'[1]DATA Engine'!$A$3:$H$800,8,FALSE))),"GOW",""),"")</f>
        <v/>
      </c>
      <c r="I149" s="26"/>
      <c r="J149" s="24"/>
      <c r="K149" s="24"/>
      <c r="L149" s="24"/>
      <c r="M149" s="24"/>
      <c r="N149" s="24"/>
      <c r="O149" s="22"/>
      <c r="P149" s="25"/>
      <c r="Q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</row>
    <row r="150" spans="2:57" ht="15">
      <c r="B150" s="18" t="str">
        <f>IF(C150="","",VLOOKUP([1]DATA!W141,'[1]DATA Engine'!$A$3:$H$800,2,FALSE))</f>
        <v/>
      </c>
      <c r="C150" s="19" t="str">
        <f>IFERROR(VLOOKUP([1]DATA!W141,'[1]DATA Engine'!$A$3:$H$800,3,FALSE),"")</f>
        <v/>
      </c>
      <c r="D150" s="20" t="str">
        <f>IFERROR(VLOOKUP([1]DATA!W141,'[1]DATA Engine'!$A$3:$H$800,4,FALSE),"")</f>
        <v/>
      </c>
      <c r="E150" s="20" t="str">
        <f>IFERROR(VLOOKUP([1]DATA!W141,'[1]DATA Engine'!$A$3:$H$800,5,FALSE),"")</f>
        <v/>
      </c>
      <c r="F150" s="18" t="str">
        <f>IFERROR(VLOOKUP([1]DATA!W141,'[1]DATA Engine'!$A$3:$H$800,6,FALSE),"")</f>
        <v/>
      </c>
      <c r="G150" s="18" t="str">
        <f>IFERROR(VLOOKUP([1]DATA!W141,'[1]DATA Engine'!$A$3:$H$800,7,FALSE),"")</f>
        <v/>
      </c>
      <c r="H150" s="18" t="str">
        <f>IFERROR(IF(ISNUMBER(SEARCH("GOW",VLOOKUP([1]DATA!W141,'[1]DATA Engine'!$A$3:$H$800,8,FALSE))),"GOW",""),"")</f>
        <v/>
      </c>
      <c r="I150" s="26"/>
      <c r="J150" s="24"/>
      <c r="K150" s="24"/>
      <c r="L150" s="24"/>
      <c r="M150" s="24"/>
      <c r="N150" s="24"/>
      <c r="O150" s="22"/>
      <c r="P150" s="25"/>
      <c r="Q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</row>
    <row r="151" spans="2:57" ht="15">
      <c r="B151" s="18" t="str">
        <f>IF(C151="","",VLOOKUP([1]DATA!W142,'[1]DATA Engine'!$A$3:$H$800,2,FALSE))</f>
        <v/>
      </c>
      <c r="C151" s="19" t="str">
        <f>IFERROR(VLOOKUP([1]DATA!W142,'[1]DATA Engine'!$A$3:$H$800,3,FALSE),"")</f>
        <v/>
      </c>
      <c r="D151" s="20" t="str">
        <f>IFERROR(VLOOKUP([1]DATA!W142,'[1]DATA Engine'!$A$3:$H$800,4,FALSE),"")</f>
        <v/>
      </c>
      <c r="E151" s="20" t="str">
        <f>IFERROR(VLOOKUP([1]DATA!W142,'[1]DATA Engine'!$A$3:$H$800,5,FALSE),"")</f>
        <v/>
      </c>
      <c r="F151" s="18" t="str">
        <f>IFERROR(VLOOKUP([1]DATA!W142,'[1]DATA Engine'!$A$3:$H$800,6,FALSE),"")</f>
        <v/>
      </c>
      <c r="G151" s="18" t="str">
        <f>IFERROR(VLOOKUP([1]DATA!W142,'[1]DATA Engine'!$A$3:$H$800,7,FALSE),"")</f>
        <v/>
      </c>
      <c r="H151" s="18" t="str">
        <f>IFERROR(IF(ISNUMBER(SEARCH("GOW",VLOOKUP([1]DATA!W142,'[1]DATA Engine'!$A$3:$H$800,8,FALSE))),"GOW",""),"")</f>
        <v/>
      </c>
      <c r="I151" s="26"/>
      <c r="J151" s="24"/>
      <c r="K151" s="24"/>
      <c r="L151" s="24"/>
      <c r="M151" s="24"/>
      <c r="N151" s="24"/>
      <c r="O151" s="22"/>
      <c r="P151" s="25"/>
      <c r="Q151" s="1"/>
    </row>
    <row r="152" spans="2:57" ht="15">
      <c r="B152" s="18" t="str">
        <f>IF(C152="","",VLOOKUP([1]DATA!W143,'[1]DATA Engine'!$A$3:$H$800,2,FALSE))</f>
        <v/>
      </c>
      <c r="C152" s="19" t="str">
        <f>IFERROR(VLOOKUP([1]DATA!W143,'[1]DATA Engine'!$A$3:$H$800,3,FALSE),"")</f>
        <v/>
      </c>
      <c r="D152" s="20" t="str">
        <f>IFERROR(VLOOKUP([1]DATA!W143,'[1]DATA Engine'!$A$3:$H$800,4,FALSE),"")</f>
        <v/>
      </c>
      <c r="E152" s="20" t="str">
        <f>IFERROR(VLOOKUP([1]DATA!W143,'[1]DATA Engine'!$A$3:$H$800,5,FALSE),"")</f>
        <v/>
      </c>
      <c r="F152" s="18" t="str">
        <f>IFERROR(VLOOKUP([1]DATA!W143,'[1]DATA Engine'!$A$3:$H$800,6,FALSE),"")</f>
        <v/>
      </c>
      <c r="G152" s="18" t="str">
        <f>IFERROR(VLOOKUP([1]DATA!W143,'[1]DATA Engine'!$A$3:$H$800,7,FALSE),"")</f>
        <v/>
      </c>
      <c r="H152" s="18" t="str">
        <f>IFERROR(IF(ISNUMBER(SEARCH("GOW",VLOOKUP([1]DATA!W143,'[1]DATA Engine'!$A$3:$H$800,8,FALSE))),"GOW",""),"")</f>
        <v/>
      </c>
      <c r="I152" s="26"/>
      <c r="J152" s="24"/>
      <c r="K152" s="24"/>
      <c r="L152" s="24"/>
      <c r="M152" s="24"/>
      <c r="N152" s="24"/>
      <c r="O152" s="22"/>
      <c r="P152" s="25"/>
      <c r="Q152" s="1"/>
    </row>
    <row r="153" spans="2:57" ht="15">
      <c r="B153" s="18" t="str">
        <f>IF(C153="","",VLOOKUP([1]DATA!W144,'[1]DATA Engine'!$A$3:$H$800,2,FALSE))</f>
        <v/>
      </c>
      <c r="C153" s="19" t="str">
        <f>IFERROR(VLOOKUP([1]DATA!W144,'[1]DATA Engine'!$A$3:$H$800,3,FALSE),"")</f>
        <v/>
      </c>
      <c r="D153" s="20" t="str">
        <f>IFERROR(VLOOKUP([1]DATA!W144,'[1]DATA Engine'!$A$3:$H$800,4,FALSE),"")</f>
        <v/>
      </c>
      <c r="E153" s="20" t="str">
        <f>IFERROR(VLOOKUP([1]DATA!W144,'[1]DATA Engine'!$A$3:$H$800,5,FALSE),"")</f>
        <v/>
      </c>
      <c r="F153" s="18" t="str">
        <f>IFERROR(VLOOKUP([1]DATA!W144,'[1]DATA Engine'!$A$3:$H$800,6,FALSE),"")</f>
        <v/>
      </c>
      <c r="G153" s="18" t="str">
        <f>IFERROR(VLOOKUP([1]DATA!W144,'[1]DATA Engine'!$A$3:$H$800,7,FALSE),"")</f>
        <v/>
      </c>
      <c r="H153" s="18" t="str">
        <f>IFERROR(IF(ISNUMBER(SEARCH("GOW",VLOOKUP([1]DATA!W144,'[1]DATA Engine'!$A$3:$H$800,8,FALSE))),"GOW",""),"")</f>
        <v/>
      </c>
      <c r="I153" s="26"/>
      <c r="J153" s="24"/>
      <c r="K153" s="24"/>
      <c r="L153" s="24"/>
      <c r="M153" s="24"/>
      <c r="N153" s="24"/>
      <c r="O153" s="22"/>
      <c r="P153" s="25"/>
      <c r="Q153" s="1"/>
    </row>
    <row r="154" spans="2:57" ht="15">
      <c r="B154" s="18" t="str">
        <f>IF(C154="","",VLOOKUP([1]DATA!W145,'[1]DATA Engine'!$A$3:$H$800,2,FALSE))</f>
        <v/>
      </c>
      <c r="C154" s="19" t="str">
        <f>IFERROR(VLOOKUP([1]DATA!W145,'[1]DATA Engine'!$A$3:$H$800,3,FALSE),"")</f>
        <v/>
      </c>
      <c r="D154" s="20" t="str">
        <f>IFERROR(VLOOKUP([1]DATA!W145,'[1]DATA Engine'!$A$3:$H$800,4,FALSE),"")</f>
        <v/>
      </c>
      <c r="E154" s="20" t="str">
        <f>IFERROR(VLOOKUP([1]DATA!W145,'[1]DATA Engine'!$A$3:$H$800,5,FALSE),"")</f>
        <v/>
      </c>
      <c r="F154" s="18" t="str">
        <f>IFERROR(VLOOKUP([1]DATA!W145,'[1]DATA Engine'!$A$3:$H$800,6,FALSE),"")</f>
        <v/>
      </c>
      <c r="G154" s="18" t="str">
        <f>IFERROR(VLOOKUP([1]DATA!W145,'[1]DATA Engine'!$A$3:$H$800,7,FALSE),"")</f>
        <v/>
      </c>
      <c r="H154" s="18" t="str">
        <f>IFERROR(IF(ISNUMBER(SEARCH("GOW",VLOOKUP([1]DATA!W145,'[1]DATA Engine'!$A$3:$H$800,8,FALSE))),"GOW",""),"")</f>
        <v/>
      </c>
      <c r="I154" s="26"/>
      <c r="J154" s="24"/>
      <c r="K154" s="24"/>
      <c r="L154" s="24"/>
      <c r="M154" s="24"/>
      <c r="N154" s="24"/>
      <c r="O154" s="22"/>
      <c r="P154" s="25"/>
      <c r="Q154" s="1"/>
    </row>
    <row r="155" spans="2:57" ht="15">
      <c r="B155" s="18" t="str">
        <f>IF(C155="","",VLOOKUP([1]DATA!W146,'[1]DATA Engine'!$A$3:$H$800,2,FALSE))</f>
        <v/>
      </c>
      <c r="C155" s="19" t="str">
        <f>IFERROR(VLOOKUP([1]DATA!W146,'[1]DATA Engine'!$A$3:$H$800,3,FALSE),"")</f>
        <v/>
      </c>
      <c r="D155" s="20" t="str">
        <f>IFERROR(VLOOKUP([1]DATA!W146,'[1]DATA Engine'!$A$3:$H$800,4,FALSE),"")</f>
        <v/>
      </c>
      <c r="E155" s="20" t="str">
        <f>IFERROR(VLOOKUP([1]DATA!W146,'[1]DATA Engine'!$A$3:$H$800,5,FALSE),"")</f>
        <v/>
      </c>
      <c r="F155" s="18" t="str">
        <f>IFERROR(VLOOKUP([1]DATA!W146,'[1]DATA Engine'!$A$3:$H$800,6,FALSE),"")</f>
        <v/>
      </c>
      <c r="G155" s="18" t="str">
        <f>IFERROR(VLOOKUP([1]DATA!W146,'[1]DATA Engine'!$A$3:$H$800,7,FALSE),"")</f>
        <v/>
      </c>
      <c r="H155" s="18" t="str">
        <f>IFERROR(IF(ISNUMBER(SEARCH("GOW",VLOOKUP([1]DATA!W146,'[1]DATA Engine'!$A$3:$H$800,8,FALSE))),"GOW",""),"")</f>
        <v/>
      </c>
      <c r="I155" s="26"/>
      <c r="J155" s="24"/>
      <c r="K155" s="24"/>
      <c r="L155" s="24"/>
      <c r="M155" s="24"/>
      <c r="N155" s="24"/>
      <c r="O155" s="22"/>
      <c r="P155" s="25"/>
      <c r="Q155" s="1"/>
    </row>
    <row r="156" spans="2:57" ht="15">
      <c r="B156" s="18" t="str">
        <f>IF(C156="","",VLOOKUP([1]DATA!W147,'[1]DATA Engine'!$A$3:$H$800,2,FALSE))</f>
        <v/>
      </c>
      <c r="C156" s="19" t="str">
        <f>IFERROR(VLOOKUP([1]DATA!W147,'[1]DATA Engine'!$A$3:$H$800,3,FALSE),"")</f>
        <v/>
      </c>
      <c r="D156" s="20" t="str">
        <f>IFERROR(VLOOKUP([1]DATA!W147,'[1]DATA Engine'!$A$3:$H$800,4,FALSE),"")</f>
        <v/>
      </c>
      <c r="E156" s="20" t="str">
        <f>IFERROR(VLOOKUP([1]DATA!W147,'[1]DATA Engine'!$A$3:$H$800,5,FALSE),"")</f>
        <v/>
      </c>
      <c r="F156" s="18" t="str">
        <f>IFERROR(VLOOKUP([1]DATA!W147,'[1]DATA Engine'!$A$3:$H$800,6,FALSE),"")</f>
        <v/>
      </c>
      <c r="G156" s="18" t="str">
        <f>IFERROR(VLOOKUP([1]DATA!W147,'[1]DATA Engine'!$A$3:$H$800,7,FALSE),"")</f>
        <v/>
      </c>
      <c r="H156" s="18" t="str">
        <f>IFERROR(IF(ISNUMBER(SEARCH("GOW",VLOOKUP([1]DATA!W147,'[1]DATA Engine'!$A$3:$H$800,8,FALSE))),"GOW",""),"")</f>
        <v/>
      </c>
      <c r="I156" s="26"/>
      <c r="J156" s="24"/>
      <c r="K156" s="24"/>
      <c r="L156" s="24"/>
      <c r="M156" s="24"/>
      <c r="N156" s="24"/>
      <c r="O156" s="22"/>
      <c r="P156" s="25"/>
      <c r="Q156" s="1"/>
    </row>
    <row r="157" spans="2:57" ht="15">
      <c r="B157" s="18" t="str">
        <f>IF(C157="","",VLOOKUP([1]DATA!W148,'[1]DATA Engine'!$A$3:$H$800,2,FALSE))</f>
        <v/>
      </c>
      <c r="C157" s="19" t="str">
        <f>IFERROR(VLOOKUP([1]DATA!W148,'[1]DATA Engine'!$A$3:$H$800,3,FALSE),"")</f>
        <v/>
      </c>
      <c r="D157" s="20" t="str">
        <f>IFERROR(VLOOKUP([1]DATA!W148,'[1]DATA Engine'!$A$3:$H$800,4,FALSE),"")</f>
        <v/>
      </c>
      <c r="E157" s="20" t="str">
        <f>IFERROR(VLOOKUP([1]DATA!W148,'[1]DATA Engine'!$A$3:$H$800,5,FALSE),"")</f>
        <v/>
      </c>
      <c r="F157" s="18" t="str">
        <f>IFERROR(VLOOKUP([1]DATA!W148,'[1]DATA Engine'!$A$3:$H$800,6,FALSE),"")</f>
        <v/>
      </c>
      <c r="G157" s="18" t="str">
        <f>IFERROR(VLOOKUP([1]DATA!W148,'[1]DATA Engine'!$A$3:$H$800,7,FALSE),"")</f>
        <v/>
      </c>
      <c r="H157" s="18" t="str">
        <f>IFERROR(IF(ISNUMBER(SEARCH("GOW",VLOOKUP([1]DATA!W148,'[1]DATA Engine'!$A$3:$H$800,8,FALSE))),"GOW",""),"")</f>
        <v/>
      </c>
      <c r="I157" s="26"/>
      <c r="J157" s="24"/>
      <c r="K157" s="24"/>
      <c r="L157" s="24"/>
      <c r="M157" s="24"/>
      <c r="N157" s="24"/>
      <c r="O157" s="22"/>
      <c r="P157" s="25"/>
      <c r="Q157" s="1"/>
    </row>
    <row r="158" spans="2:57" ht="15">
      <c r="B158" s="18" t="str">
        <f>IF(C158="","",VLOOKUP([1]DATA!W149,'[1]DATA Engine'!$A$3:$H$800,2,FALSE))</f>
        <v/>
      </c>
      <c r="C158" s="19" t="str">
        <f>IFERROR(VLOOKUP([1]DATA!W149,'[1]DATA Engine'!$A$3:$H$800,3,FALSE),"")</f>
        <v/>
      </c>
      <c r="D158" s="20" t="str">
        <f>IFERROR(VLOOKUP([1]DATA!W149,'[1]DATA Engine'!$A$3:$H$800,4,FALSE),"")</f>
        <v/>
      </c>
      <c r="E158" s="20" t="str">
        <f>IFERROR(VLOOKUP([1]DATA!W149,'[1]DATA Engine'!$A$3:$H$800,5,FALSE),"")</f>
        <v/>
      </c>
      <c r="F158" s="18" t="str">
        <f>IFERROR(VLOOKUP([1]DATA!W149,'[1]DATA Engine'!$A$3:$H$800,6,FALSE),"")</f>
        <v/>
      </c>
      <c r="G158" s="18" t="str">
        <f>IFERROR(VLOOKUP([1]DATA!W149,'[1]DATA Engine'!$A$3:$H$800,7,FALSE),"")</f>
        <v/>
      </c>
      <c r="H158" s="18" t="str">
        <f>IFERROR(IF(ISNUMBER(SEARCH("GOW",VLOOKUP([1]DATA!W149,'[1]DATA Engine'!$A$3:$H$800,8,FALSE))),"GOW",""),"")</f>
        <v/>
      </c>
      <c r="I158" s="26"/>
      <c r="J158" s="24"/>
      <c r="K158" s="24"/>
      <c r="L158" s="24"/>
      <c r="M158" s="24"/>
      <c r="N158" s="24"/>
      <c r="O158" s="22"/>
      <c r="P158" s="25"/>
      <c r="Q158" s="1"/>
    </row>
    <row r="159" spans="2:57" ht="15">
      <c r="B159" s="18" t="str">
        <f>IF(C159="","",VLOOKUP([1]DATA!W150,'[1]DATA Engine'!$A$3:$H$800,2,FALSE))</f>
        <v/>
      </c>
      <c r="C159" s="19" t="str">
        <f>IFERROR(VLOOKUP([1]DATA!W150,'[1]DATA Engine'!$A$3:$H$800,3,FALSE),"")</f>
        <v/>
      </c>
      <c r="D159" s="20" t="str">
        <f>IFERROR(VLOOKUP([1]DATA!W150,'[1]DATA Engine'!$A$3:$H$800,4,FALSE),"")</f>
        <v/>
      </c>
      <c r="E159" s="20" t="str">
        <f>IFERROR(VLOOKUP([1]DATA!W150,'[1]DATA Engine'!$A$3:$H$800,5,FALSE),"")</f>
        <v/>
      </c>
      <c r="F159" s="18" t="str">
        <f>IFERROR(VLOOKUP([1]DATA!W150,'[1]DATA Engine'!$A$3:$H$800,6,FALSE),"")</f>
        <v/>
      </c>
      <c r="G159" s="18" t="str">
        <f>IFERROR(VLOOKUP([1]DATA!W150,'[1]DATA Engine'!$A$3:$H$800,7,FALSE),"")</f>
        <v/>
      </c>
      <c r="H159" s="18" t="str">
        <f>IFERROR(IF(ISNUMBER(SEARCH("GOW",VLOOKUP([1]DATA!W150,'[1]DATA Engine'!$A$3:$H$800,8,FALSE))),"GOW",""),"")</f>
        <v/>
      </c>
      <c r="I159" s="26"/>
      <c r="J159" s="24"/>
      <c r="K159" s="24"/>
      <c r="L159" s="24"/>
      <c r="M159" s="24"/>
      <c r="N159" s="24"/>
      <c r="O159" s="22"/>
      <c r="P159" s="25"/>
      <c r="Q159" s="1"/>
    </row>
    <row r="160" spans="2:57" ht="15">
      <c r="B160" s="18" t="str">
        <f>IF(C160="","",VLOOKUP([1]DATA!W151,'[1]DATA Engine'!$A$3:$H$800,2,FALSE))</f>
        <v/>
      </c>
      <c r="C160" s="19" t="str">
        <f>IFERROR(VLOOKUP([1]DATA!W151,'[1]DATA Engine'!$A$3:$H$800,3,FALSE),"")</f>
        <v/>
      </c>
      <c r="D160" s="20" t="str">
        <f>IFERROR(VLOOKUP([1]DATA!W151,'[1]DATA Engine'!$A$3:$H$800,4,FALSE),"")</f>
        <v/>
      </c>
      <c r="E160" s="20" t="str">
        <f>IFERROR(VLOOKUP([1]DATA!W151,'[1]DATA Engine'!$A$3:$H$800,5,FALSE),"")</f>
        <v/>
      </c>
      <c r="F160" s="18" t="str">
        <f>IFERROR(VLOOKUP([1]DATA!W151,'[1]DATA Engine'!$A$3:$H$800,6,FALSE),"")</f>
        <v/>
      </c>
      <c r="G160" s="18" t="str">
        <f>IFERROR(VLOOKUP([1]DATA!W151,'[1]DATA Engine'!$A$3:$H$800,7,FALSE),"")</f>
        <v/>
      </c>
      <c r="H160" s="18" t="str">
        <f>IFERROR(IF(ISNUMBER(SEARCH("GOW",VLOOKUP([1]DATA!W151,'[1]DATA Engine'!$A$3:$H$800,8,FALSE))),"GOW",""),"")</f>
        <v/>
      </c>
      <c r="I160" s="26"/>
      <c r="J160" s="24"/>
      <c r="K160" s="24"/>
      <c r="L160" s="24"/>
      <c r="M160" s="24"/>
      <c r="N160" s="24"/>
      <c r="O160" s="22"/>
      <c r="P160" s="25"/>
      <c r="Q160" s="1"/>
    </row>
    <row r="161" spans="2:17" ht="15">
      <c r="B161" s="18" t="str">
        <f>IF(C161="","",VLOOKUP([1]DATA!W152,'[1]DATA Engine'!$A$3:$H$800,2,FALSE))</f>
        <v/>
      </c>
      <c r="C161" s="19" t="str">
        <f>IFERROR(VLOOKUP([1]DATA!W152,'[1]DATA Engine'!$A$3:$H$800,3,FALSE),"")</f>
        <v/>
      </c>
      <c r="D161" s="20" t="str">
        <f>IFERROR(VLOOKUP([1]DATA!W152,'[1]DATA Engine'!$A$3:$H$800,4,FALSE),"")</f>
        <v/>
      </c>
      <c r="E161" s="20" t="str">
        <f>IFERROR(VLOOKUP([1]DATA!W152,'[1]DATA Engine'!$A$3:$H$800,5,FALSE),"")</f>
        <v/>
      </c>
      <c r="F161" s="18" t="str">
        <f>IFERROR(VLOOKUP([1]DATA!W152,'[1]DATA Engine'!$A$3:$H$800,6,FALSE),"")</f>
        <v/>
      </c>
      <c r="G161" s="18" t="str">
        <f>IFERROR(VLOOKUP([1]DATA!W152,'[1]DATA Engine'!$A$3:$H$800,7,FALSE),"")</f>
        <v/>
      </c>
      <c r="H161" s="18" t="str">
        <f>IFERROR(IF(ISNUMBER(SEARCH("GOW",VLOOKUP([1]DATA!W152,'[1]DATA Engine'!$A$3:$H$800,8,FALSE))),"GOW",""),"")</f>
        <v/>
      </c>
      <c r="I161" s="26"/>
      <c r="J161" s="24"/>
      <c r="K161" s="24"/>
      <c r="L161" s="24"/>
      <c r="M161" s="24"/>
      <c r="N161" s="24"/>
      <c r="O161" s="22"/>
      <c r="P161" s="25"/>
      <c r="Q161" s="1"/>
    </row>
    <row r="162" spans="2:17" ht="15">
      <c r="B162" s="18" t="str">
        <f>IF(C162="","",VLOOKUP([1]DATA!W153,'[1]DATA Engine'!$A$3:$H$800,2,FALSE))</f>
        <v/>
      </c>
      <c r="C162" s="19" t="str">
        <f>IFERROR(VLOOKUP([1]DATA!W153,'[1]DATA Engine'!$A$3:$H$800,3,FALSE),"")</f>
        <v/>
      </c>
      <c r="D162" s="20" t="str">
        <f>IFERROR(VLOOKUP([1]DATA!W153,'[1]DATA Engine'!$A$3:$H$800,4,FALSE),"")</f>
        <v/>
      </c>
      <c r="E162" s="20" t="str">
        <f>IFERROR(VLOOKUP([1]DATA!W153,'[1]DATA Engine'!$A$3:$H$800,5,FALSE),"")</f>
        <v/>
      </c>
      <c r="F162" s="18" t="str">
        <f>IFERROR(VLOOKUP([1]DATA!W153,'[1]DATA Engine'!$A$3:$H$800,6,FALSE),"")</f>
        <v/>
      </c>
      <c r="G162" s="18" t="str">
        <f>IFERROR(VLOOKUP([1]DATA!W153,'[1]DATA Engine'!$A$3:$H$800,7,FALSE),"")</f>
        <v/>
      </c>
      <c r="H162" s="18" t="str">
        <f>IFERROR(IF(ISNUMBER(SEARCH("GOW",VLOOKUP([1]DATA!W153,'[1]DATA Engine'!$A$3:$H$800,8,FALSE))),"GOW",""),"")</f>
        <v/>
      </c>
      <c r="I162" s="26"/>
      <c r="J162" s="24"/>
      <c r="K162" s="24"/>
      <c r="L162" s="24"/>
      <c r="M162" s="24"/>
      <c r="N162" s="24"/>
      <c r="O162" s="22"/>
      <c r="P162" s="25"/>
      <c r="Q162" s="1"/>
    </row>
    <row r="163" spans="2:17" ht="15">
      <c r="B163" s="18" t="str">
        <f>IF(C163="","",VLOOKUP([1]DATA!W154,'[1]DATA Engine'!$A$3:$H$800,2,FALSE))</f>
        <v/>
      </c>
      <c r="C163" s="19" t="str">
        <f>IFERROR(VLOOKUP([1]DATA!W154,'[1]DATA Engine'!$A$3:$H$800,3,FALSE),"")</f>
        <v/>
      </c>
      <c r="D163" s="20" t="str">
        <f>IFERROR(VLOOKUP([1]DATA!W154,'[1]DATA Engine'!$A$3:$H$800,4,FALSE),"")</f>
        <v/>
      </c>
      <c r="E163" s="20" t="str">
        <f>IFERROR(VLOOKUP([1]DATA!W154,'[1]DATA Engine'!$A$3:$H$800,5,FALSE),"")</f>
        <v/>
      </c>
      <c r="F163" s="18" t="str">
        <f>IFERROR(VLOOKUP([1]DATA!W154,'[1]DATA Engine'!$A$3:$H$800,6,FALSE),"")</f>
        <v/>
      </c>
      <c r="G163" s="18" t="str">
        <f>IFERROR(VLOOKUP([1]DATA!W154,'[1]DATA Engine'!$A$3:$H$800,7,FALSE),"")</f>
        <v/>
      </c>
      <c r="H163" s="18" t="str">
        <f>IFERROR(IF(ISNUMBER(SEARCH("GOW",VLOOKUP([1]DATA!W154,'[1]DATA Engine'!$A$3:$H$800,8,FALSE))),"GOW",""),"")</f>
        <v/>
      </c>
      <c r="I163" s="26"/>
      <c r="J163" s="24"/>
      <c r="K163" s="24"/>
      <c r="L163" s="24"/>
      <c r="M163" s="24"/>
      <c r="N163" s="24"/>
      <c r="O163" s="22"/>
      <c r="P163" s="25"/>
      <c r="Q163" s="1"/>
    </row>
    <row r="164" spans="2:17" ht="15">
      <c r="B164" s="18" t="str">
        <f>IF(C164="","",VLOOKUP([1]DATA!W155,'[1]DATA Engine'!$A$3:$H$800,2,FALSE))</f>
        <v/>
      </c>
      <c r="C164" s="19" t="str">
        <f>IFERROR(VLOOKUP([1]DATA!W155,'[1]DATA Engine'!$A$3:$H$800,3,FALSE),"")</f>
        <v/>
      </c>
      <c r="D164" s="20" t="str">
        <f>IFERROR(VLOOKUP([1]DATA!W155,'[1]DATA Engine'!$A$3:$H$800,4,FALSE),"")</f>
        <v/>
      </c>
      <c r="E164" s="20" t="str">
        <f>IFERROR(VLOOKUP([1]DATA!W155,'[1]DATA Engine'!$A$3:$H$800,5,FALSE),"")</f>
        <v/>
      </c>
      <c r="F164" s="18" t="str">
        <f>IFERROR(VLOOKUP([1]DATA!W155,'[1]DATA Engine'!$A$3:$H$800,6,FALSE),"")</f>
        <v/>
      </c>
      <c r="G164" s="18" t="str">
        <f>IFERROR(VLOOKUP([1]DATA!W155,'[1]DATA Engine'!$A$3:$H$800,7,FALSE),"")</f>
        <v/>
      </c>
      <c r="H164" s="18" t="str">
        <f>IFERROR(IF(ISNUMBER(SEARCH("GOW",VLOOKUP([1]DATA!W155,'[1]DATA Engine'!$A$3:$H$800,8,FALSE))),"GOW",""),"")</f>
        <v/>
      </c>
      <c r="I164" s="26"/>
      <c r="J164" s="24"/>
      <c r="K164" s="24"/>
      <c r="L164" s="24"/>
      <c r="M164" s="24"/>
      <c r="N164" s="24"/>
      <c r="O164" s="22"/>
      <c r="P164" s="25"/>
      <c r="Q164" s="1"/>
    </row>
    <row r="165" spans="2:17" ht="15">
      <c r="B165" s="18" t="str">
        <f>IF(C165="","",VLOOKUP([1]DATA!W156,'[1]DATA Engine'!$A$3:$H$800,2,FALSE))</f>
        <v/>
      </c>
      <c r="C165" s="19" t="str">
        <f>IFERROR(VLOOKUP([1]DATA!W156,'[1]DATA Engine'!$A$3:$H$800,3,FALSE),"")</f>
        <v/>
      </c>
      <c r="D165" s="20" t="str">
        <f>IFERROR(VLOOKUP([1]DATA!W156,'[1]DATA Engine'!$A$3:$H$800,4,FALSE),"")</f>
        <v/>
      </c>
      <c r="E165" s="20" t="str">
        <f>IFERROR(VLOOKUP([1]DATA!W156,'[1]DATA Engine'!$A$3:$H$800,5,FALSE),"")</f>
        <v/>
      </c>
      <c r="F165" s="18" t="str">
        <f>IFERROR(VLOOKUP([1]DATA!W156,'[1]DATA Engine'!$A$3:$H$800,6,FALSE),"")</f>
        <v/>
      </c>
      <c r="G165" s="18" t="str">
        <f>IFERROR(VLOOKUP([1]DATA!W156,'[1]DATA Engine'!$A$3:$H$800,7,FALSE),"")</f>
        <v/>
      </c>
      <c r="H165" s="18" t="str">
        <f>IFERROR(IF(ISNUMBER(SEARCH("GOW",VLOOKUP([1]DATA!W156,'[1]DATA Engine'!$A$3:$H$800,8,FALSE))),"GOW",""),"")</f>
        <v/>
      </c>
      <c r="I165" s="26"/>
      <c r="J165" s="24"/>
      <c r="K165" s="24"/>
      <c r="L165" s="24"/>
      <c r="M165" s="24"/>
      <c r="N165" s="24"/>
      <c r="O165" s="22"/>
      <c r="P165" s="25"/>
      <c r="Q165" s="1"/>
    </row>
    <row r="166" spans="2:17" ht="15">
      <c r="B166" s="18" t="str">
        <f>IF(C166="","",VLOOKUP([1]DATA!W157,'[1]DATA Engine'!$A$3:$H$800,2,FALSE))</f>
        <v/>
      </c>
      <c r="C166" s="19" t="str">
        <f>IFERROR(VLOOKUP([1]DATA!W157,'[1]DATA Engine'!$A$3:$H$800,3,FALSE),"")</f>
        <v/>
      </c>
      <c r="D166" s="20" t="str">
        <f>IFERROR(VLOOKUP([1]DATA!W157,'[1]DATA Engine'!$A$3:$H$800,4,FALSE),"")</f>
        <v/>
      </c>
      <c r="E166" s="20" t="str">
        <f>IFERROR(VLOOKUP([1]DATA!W157,'[1]DATA Engine'!$A$3:$H$800,5,FALSE),"")</f>
        <v/>
      </c>
      <c r="F166" s="18" t="str">
        <f>IFERROR(VLOOKUP([1]DATA!W157,'[1]DATA Engine'!$A$3:$H$800,6,FALSE),"")</f>
        <v/>
      </c>
      <c r="G166" s="18" t="str">
        <f>IFERROR(VLOOKUP([1]DATA!W157,'[1]DATA Engine'!$A$3:$H$800,7,FALSE),"")</f>
        <v/>
      </c>
      <c r="H166" s="18" t="str">
        <f>IFERROR(IF(ISNUMBER(SEARCH("GOW",VLOOKUP([1]DATA!W157,'[1]DATA Engine'!$A$3:$H$800,8,FALSE))),"GOW",""),"")</f>
        <v/>
      </c>
      <c r="I166" s="26"/>
      <c r="J166" s="24"/>
      <c r="K166" s="24"/>
      <c r="L166" s="24"/>
      <c r="M166" s="24"/>
      <c r="N166" s="24"/>
      <c r="O166" s="22"/>
      <c r="P166" s="25"/>
      <c r="Q166" s="1"/>
    </row>
    <row r="167" spans="2:17" ht="15">
      <c r="B167" s="18" t="str">
        <f>IF(C167="","",VLOOKUP([1]DATA!W158,'[1]DATA Engine'!$A$3:$H$800,2,FALSE))</f>
        <v/>
      </c>
      <c r="C167" s="19" t="str">
        <f>IFERROR(VLOOKUP([1]DATA!W158,'[1]DATA Engine'!$A$3:$H$800,3,FALSE),"")</f>
        <v/>
      </c>
      <c r="D167" s="20" t="str">
        <f>IFERROR(VLOOKUP([1]DATA!W158,'[1]DATA Engine'!$A$3:$H$800,4,FALSE),"")</f>
        <v/>
      </c>
      <c r="E167" s="20" t="str">
        <f>IFERROR(VLOOKUP([1]DATA!W158,'[1]DATA Engine'!$A$3:$H$800,5,FALSE),"")</f>
        <v/>
      </c>
      <c r="F167" s="18" t="str">
        <f>IFERROR(VLOOKUP([1]DATA!W158,'[1]DATA Engine'!$A$3:$H$800,6,FALSE),"")</f>
        <v/>
      </c>
      <c r="G167" s="18" t="str">
        <f>IFERROR(VLOOKUP([1]DATA!W158,'[1]DATA Engine'!$A$3:$H$800,7,FALSE),"")</f>
        <v/>
      </c>
      <c r="H167" s="18" t="str">
        <f>IFERROR(IF(ISNUMBER(SEARCH("GOW",VLOOKUP([1]DATA!W158,'[1]DATA Engine'!$A$3:$H$800,8,FALSE))),"GOW",""),"")</f>
        <v/>
      </c>
      <c r="I167" s="26"/>
      <c r="J167" s="24"/>
      <c r="K167" s="24"/>
      <c r="L167" s="24"/>
      <c r="M167" s="24"/>
      <c r="N167" s="24"/>
      <c r="O167" s="22"/>
      <c r="P167" s="25"/>
      <c r="Q167" s="1"/>
    </row>
    <row r="168" spans="2:17" ht="15">
      <c r="B168" s="18" t="str">
        <f>IF(C168="","",VLOOKUP([1]DATA!W159,'[1]DATA Engine'!$A$3:$H$800,2,FALSE))</f>
        <v/>
      </c>
      <c r="C168" s="19" t="str">
        <f>IFERROR(VLOOKUP([1]DATA!W159,'[1]DATA Engine'!$A$3:$H$800,3,FALSE),"")</f>
        <v/>
      </c>
      <c r="D168" s="20" t="str">
        <f>IFERROR(VLOOKUP([1]DATA!W159,'[1]DATA Engine'!$A$3:$H$800,4,FALSE),"")</f>
        <v/>
      </c>
      <c r="E168" s="20" t="str">
        <f>IFERROR(VLOOKUP([1]DATA!W159,'[1]DATA Engine'!$A$3:$H$800,5,FALSE),"")</f>
        <v/>
      </c>
      <c r="F168" s="18" t="str">
        <f>IFERROR(VLOOKUP([1]DATA!W159,'[1]DATA Engine'!$A$3:$H$800,6,FALSE),"")</f>
        <v/>
      </c>
      <c r="G168" s="18" t="str">
        <f>IFERROR(VLOOKUP([1]DATA!W159,'[1]DATA Engine'!$A$3:$H$800,7,FALSE),"")</f>
        <v/>
      </c>
      <c r="H168" s="18" t="str">
        <f>IFERROR(IF(ISNUMBER(SEARCH("GOW",VLOOKUP([1]DATA!W159,'[1]DATA Engine'!$A$3:$H$800,8,FALSE))),"GOW",""),"")</f>
        <v/>
      </c>
      <c r="I168" s="26"/>
      <c r="J168" s="24"/>
      <c r="K168" s="24"/>
      <c r="L168" s="24"/>
      <c r="M168" s="24"/>
      <c r="N168" s="24"/>
      <c r="O168" s="22"/>
      <c r="P168" s="25"/>
      <c r="Q168" s="1"/>
    </row>
    <row r="169" spans="2:17" ht="15">
      <c r="B169" s="18" t="str">
        <f>IF(C169="","",VLOOKUP([1]DATA!W160,'[1]DATA Engine'!$A$3:$H$800,2,FALSE))</f>
        <v/>
      </c>
      <c r="C169" s="19" t="str">
        <f>IFERROR(VLOOKUP([1]DATA!W160,'[1]DATA Engine'!$A$3:$H$800,3,FALSE),"")</f>
        <v/>
      </c>
      <c r="D169" s="20" t="str">
        <f>IFERROR(VLOOKUP([1]DATA!W160,'[1]DATA Engine'!$A$3:$H$800,4,FALSE),"")</f>
        <v/>
      </c>
      <c r="E169" s="20" t="str">
        <f>IFERROR(VLOOKUP([1]DATA!W160,'[1]DATA Engine'!$A$3:$H$800,5,FALSE),"")</f>
        <v/>
      </c>
      <c r="F169" s="18" t="str">
        <f>IFERROR(VLOOKUP([1]DATA!W160,'[1]DATA Engine'!$A$3:$H$800,6,FALSE),"")</f>
        <v/>
      </c>
      <c r="G169" s="18" t="str">
        <f>IFERROR(VLOOKUP([1]DATA!W160,'[1]DATA Engine'!$A$3:$H$800,7,FALSE),"")</f>
        <v/>
      </c>
      <c r="H169" s="18" t="str">
        <f>IFERROR(IF(ISNUMBER(SEARCH("GOW",VLOOKUP([1]DATA!W160,'[1]DATA Engine'!$A$3:$H$800,8,FALSE))),"GOW",""),"")</f>
        <v/>
      </c>
      <c r="I169" s="26"/>
      <c r="J169" s="24"/>
      <c r="K169" s="24"/>
      <c r="L169" s="24"/>
      <c r="M169" s="24"/>
      <c r="N169" s="24"/>
      <c r="O169" s="22"/>
      <c r="P169" s="25"/>
      <c r="Q169" s="1"/>
    </row>
    <row r="170" spans="2:17" ht="15">
      <c r="B170" s="18" t="str">
        <f>IF(C170="","",VLOOKUP([1]DATA!W161,'[1]DATA Engine'!$A$3:$H$800,2,FALSE))</f>
        <v/>
      </c>
      <c r="C170" s="19" t="str">
        <f>IFERROR(VLOOKUP([1]DATA!W161,'[1]DATA Engine'!$A$3:$H$800,3,FALSE),"")</f>
        <v/>
      </c>
      <c r="D170" s="20" t="str">
        <f>IFERROR(VLOOKUP([1]DATA!W161,'[1]DATA Engine'!$A$3:$H$800,4,FALSE),"")</f>
        <v/>
      </c>
      <c r="E170" s="20" t="str">
        <f>IFERROR(VLOOKUP([1]DATA!W161,'[1]DATA Engine'!$A$3:$H$800,5,FALSE),"")</f>
        <v/>
      </c>
      <c r="F170" s="18" t="str">
        <f>IFERROR(VLOOKUP([1]DATA!W161,'[1]DATA Engine'!$A$3:$H$800,6,FALSE),"")</f>
        <v/>
      </c>
      <c r="G170" s="18" t="str">
        <f>IFERROR(VLOOKUP([1]DATA!W161,'[1]DATA Engine'!$A$3:$H$800,7,FALSE),"")</f>
        <v/>
      </c>
      <c r="H170" s="18" t="str">
        <f>IFERROR(IF(ISNUMBER(SEARCH("GOW",VLOOKUP([1]DATA!W161,'[1]DATA Engine'!$A$3:$H$800,8,FALSE))),"GOW",""),"")</f>
        <v/>
      </c>
      <c r="I170" s="26"/>
      <c r="J170" s="24"/>
      <c r="K170" s="24"/>
      <c r="L170" s="24"/>
      <c r="M170" s="24"/>
      <c r="N170" s="24"/>
      <c r="O170" s="22"/>
      <c r="P170" s="25"/>
      <c r="Q170" s="1"/>
    </row>
    <row r="171" spans="2:17" ht="15">
      <c r="B171" s="18" t="str">
        <f>IF(C171="","",VLOOKUP([1]DATA!W162,'[1]DATA Engine'!$A$3:$H$800,2,FALSE))</f>
        <v/>
      </c>
      <c r="C171" s="19" t="str">
        <f>IFERROR(VLOOKUP([1]DATA!W162,'[1]DATA Engine'!$A$3:$H$800,3,FALSE),"")</f>
        <v/>
      </c>
      <c r="D171" s="20" t="str">
        <f>IFERROR(VLOOKUP([1]DATA!W162,'[1]DATA Engine'!$A$3:$H$800,4,FALSE),"")</f>
        <v/>
      </c>
      <c r="E171" s="20" t="str">
        <f>IFERROR(VLOOKUP([1]DATA!W162,'[1]DATA Engine'!$A$3:$H$800,5,FALSE),"")</f>
        <v/>
      </c>
      <c r="F171" s="18" t="str">
        <f>IFERROR(VLOOKUP([1]DATA!W162,'[1]DATA Engine'!$A$3:$H$800,6,FALSE),"")</f>
        <v/>
      </c>
      <c r="G171" s="18" t="str">
        <f>IFERROR(VLOOKUP([1]DATA!W162,'[1]DATA Engine'!$A$3:$H$800,7,FALSE),"")</f>
        <v/>
      </c>
      <c r="H171" s="18" t="str">
        <f>IFERROR(IF(ISNUMBER(SEARCH("GOW",VLOOKUP([1]DATA!W162,'[1]DATA Engine'!$A$3:$H$800,8,FALSE))),"GOW",""),"")</f>
        <v/>
      </c>
      <c r="I171" s="26"/>
      <c r="J171" s="24"/>
      <c r="K171" s="24"/>
      <c r="L171" s="24"/>
      <c r="M171" s="24"/>
      <c r="N171" s="24"/>
      <c r="O171" s="22"/>
      <c r="P171" s="25"/>
      <c r="Q171" s="1"/>
    </row>
    <row r="172" spans="2:17" ht="15">
      <c r="B172" s="18" t="str">
        <f>IF(C172="","",VLOOKUP([1]DATA!W163,'[1]DATA Engine'!$A$3:$H$800,2,FALSE))</f>
        <v/>
      </c>
      <c r="C172" s="19" t="str">
        <f>IFERROR(VLOOKUP([1]DATA!W163,'[1]DATA Engine'!$A$3:$H$800,3,FALSE),"")</f>
        <v/>
      </c>
      <c r="D172" s="20" t="str">
        <f>IFERROR(VLOOKUP([1]DATA!W163,'[1]DATA Engine'!$A$3:$H$800,4,FALSE),"")</f>
        <v/>
      </c>
      <c r="E172" s="20" t="str">
        <f>IFERROR(VLOOKUP([1]DATA!W163,'[1]DATA Engine'!$A$3:$H$800,5,FALSE),"")</f>
        <v/>
      </c>
      <c r="F172" s="18" t="str">
        <f>IFERROR(VLOOKUP([1]DATA!W163,'[1]DATA Engine'!$A$3:$H$800,6,FALSE),"")</f>
        <v/>
      </c>
      <c r="G172" s="18" t="str">
        <f>IFERROR(VLOOKUP([1]DATA!W163,'[1]DATA Engine'!$A$3:$H$800,7,FALSE),"")</f>
        <v/>
      </c>
      <c r="H172" s="18" t="str">
        <f>IFERROR(IF(ISNUMBER(SEARCH("GOW",VLOOKUP([1]DATA!W163,'[1]DATA Engine'!$A$3:$H$800,8,FALSE))),"GOW",""),"")</f>
        <v/>
      </c>
      <c r="I172" s="26"/>
      <c r="J172" s="24"/>
      <c r="K172" s="24"/>
      <c r="L172" s="24"/>
      <c r="M172" s="24"/>
      <c r="N172" s="24"/>
      <c r="O172" s="22"/>
      <c r="P172" s="25"/>
      <c r="Q172" s="1"/>
    </row>
    <row r="173" spans="2:17" ht="15">
      <c r="B173" s="18" t="str">
        <f>IF(C173="","",VLOOKUP([1]DATA!W164,'[1]DATA Engine'!$A$3:$H$800,2,FALSE))</f>
        <v/>
      </c>
      <c r="C173" s="19" t="str">
        <f>IFERROR(VLOOKUP([1]DATA!W164,'[1]DATA Engine'!$A$3:$H$800,3,FALSE),"")</f>
        <v/>
      </c>
      <c r="D173" s="20" t="str">
        <f>IFERROR(VLOOKUP([1]DATA!W164,'[1]DATA Engine'!$A$3:$H$800,4,FALSE),"")</f>
        <v/>
      </c>
      <c r="E173" s="20" t="str">
        <f>IFERROR(VLOOKUP([1]DATA!W164,'[1]DATA Engine'!$A$3:$H$800,5,FALSE),"")</f>
        <v/>
      </c>
      <c r="F173" s="18" t="str">
        <f>IFERROR(VLOOKUP([1]DATA!W164,'[1]DATA Engine'!$A$3:$H$800,6,FALSE),"")</f>
        <v/>
      </c>
      <c r="G173" s="18" t="str">
        <f>IFERROR(VLOOKUP([1]DATA!W164,'[1]DATA Engine'!$A$3:$H$800,7,FALSE),"")</f>
        <v/>
      </c>
      <c r="H173" s="18" t="str">
        <f>IFERROR(IF(ISNUMBER(SEARCH("GOW",VLOOKUP([1]DATA!W164,'[1]DATA Engine'!$A$3:$H$800,8,FALSE))),"GOW",""),"")</f>
        <v/>
      </c>
      <c r="I173" s="26"/>
      <c r="J173" s="24"/>
      <c r="K173" s="24"/>
      <c r="L173" s="24"/>
      <c r="M173" s="24"/>
      <c r="N173" s="24"/>
      <c r="O173" s="22"/>
      <c r="P173" s="25"/>
      <c r="Q173" s="1"/>
    </row>
    <row r="174" spans="2:17" ht="15">
      <c r="B174" s="18" t="str">
        <f>IF(C174="","",VLOOKUP([1]DATA!W165,'[1]DATA Engine'!$A$3:$H$800,2,FALSE))</f>
        <v/>
      </c>
      <c r="C174" s="19" t="str">
        <f>IFERROR(VLOOKUP([1]DATA!W165,'[1]DATA Engine'!$A$3:$H$800,3,FALSE),"")</f>
        <v/>
      </c>
      <c r="D174" s="20" t="str">
        <f>IFERROR(VLOOKUP([1]DATA!W165,'[1]DATA Engine'!$A$3:$H$800,4,FALSE),"")</f>
        <v/>
      </c>
      <c r="E174" s="20" t="str">
        <f>IFERROR(VLOOKUP([1]DATA!W165,'[1]DATA Engine'!$A$3:$H$800,5,FALSE),"")</f>
        <v/>
      </c>
      <c r="F174" s="18" t="str">
        <f>IFERROR(VLOOKUP([1]DATA!W165,'[1]DATA Engine'!$A$3:$H$800,6,FALSE),"")</f>
        <v/>
      </c>
      <c r="G174" s="18" t="str">
        <f>IFERROR(VLOOKUP([1]DATA!W165,'[1]DATA Engine'!$A$3:$H$800,7,FALSE),"")</f>
        <v/>
      </c>
      <c r="H174" s="18" t="str">
        <f>IFERROR(IF(ISNUMBER(SEARCH("GOW",VLOOKUP([1]DATA!W165,'[1]DATA Engine'!$A$3:$H$800,8,FALSE))),"GOW",""),"")</f>
        <v/>
      </c>
      <c r="I174" s="26"/>
      <c r="J174" s="24"/>
      <c r="K174" s="24"/>
      <c r="L174" s="24"/>
      <c r="M174" s="24"/>
      <c r="N174" s="24"/>
      <c r="O174" s="22"/>
      <c r="P174" s="25"/>
      <c r="Q174" s="1"/>
    </row>
    <row r="175" spans="2:17" ht="15">
      <c r="B175" s="18" t="str">
        <f>IF(C175="","",VLOOKUP([1]DATA!W166,'[1]DATA Engine'!$A$3:$H$800,2,FALSE))</f>
        <v/>
      </c>
      <c r="C175" s="19" t="str">
        <f>IFERROR(VLOOKUP([1]DATA!W166,'[1]DATA Engine'!$A$3:$H$800,3,FALSE),"")</f>
        <v/>
      </c>
      <c r="D175" s="20" t="str">
        <f>IFERROR(VLOOKUP([1]DATA!W166,'[1]DATA Engine'!$A$3:$H$800,4,FALSE),"")</f>
        <v/>
      </c>
      <c r="E175" s="20" t="str">
        <f>IFERROR(VLOOKUP([1]DATA!W166,'[1]DATA Engine'!$A$3:$H$800,5,FALSE),"")</f>
        <v/>
      </c>
      <c r="F175" s="18" t="str">
        <f>IFERROR(VLOOKUP([1]DATA!W166,'[1]DATA Engine'!$A$3:$H$800,6,FALSE),"")</f>
        <v/>
      </c>
      <c r="G175" s="18" t="str">
        <f>IFERROR(VLOOKUP([1]DATA!W166,'[1]DATA Engine'!$A$3:$H$800,7,FALSE),"")</f>
        <v/>
      </c>
      <c r="H175" s="18" t="str">
        <f>IFERROR(IF(ISNUMBER(SEARCH("GOW",VLOOKUP([1]DATA!W166,'[1]DATA Engine'!$A$3:$H$800,8,FALSE))),"GOW",""),"")</f>
        <v/>
      </c>
      <c r="I175" s="26"/>
      <c r="J175" s="24"/>
      <c r="K175" s="24"/>
      <c r="L175" s="24"/>
      <c r="M175" s="24"/>
      <c r="N175" s="24"/>
      <c r="O175" s="22"/>
      <c r="P175" s="25"/>
      <c r="Q175" s="1"/>
    </row>
    <row r="176" spans="2:17" ht="15">
      <c r="B176" s="18" t="str">
        <f>IF(C176="","",VLOOKUP([1]DATA!W167,'[1]DATA Engine'!$A$3:$H$800,2,FALSE))</f>
        <v/>
      </c>
      <c r="C176" s="19" t="str">
        <f>IFERROR(VLOOKUP([1]DATA!W167,'[1]DATA Engine'!$A$3:$H$800,3,FALSE),"")</f>
        <v/>
      </c>
      <c r="D176" s="20" t="str">
        <f>IFERROR(VLOOKUP([1]DATA!W167,'[1]DATA Engine'!$A$3:$H$800,4,FALSE),"")</f>
        <v/>
      </c>
      <c r="E176" s="20" t="str">
        <f>IFERROR(VLOOKUP([1]DATA!W167,'[1]DATA Engine'!$A$3:$H$800,5,FALSE),"")</f>
        <v/>
      </c>
      <c r="F176" s="18" t="str">
        <f>IFERROR(VLOOKUP([1]DATA!W167,'[1]DATA Engine'!$A$3:$H$800,6,FALSE),"")</f>
        <v/>
      </c>
      <c r="G176" s="18" t="str">
        <f>IFERROR(VLOOKUP([1]DATA!W167,'[1]DATA Engine'!$A$3:$H$800,7,FALSE),"")</f>
        <v/>
      </c>
      <c r="H176" s="18" t="str">
        <f>IFERROR(IF(ISNUMBER(SEARCH("GOW",VLOOKUP([1]DATA!W167,'[1]DATA Engine'!$A$3:$H$800,8,FALSE))),"GOW",""),"")</f>
        <v/>
      </c>
      <c r="I176" s="26"/>
      <c r="J176" s="24"/>
      <c r="K176" s="24"/>
      <c r="L176" s="24"/>
      <c r="M176" s="24"/>
      <c r="N176" s="24"/>
      <c r="O176" s="22"/>
      <c r="P176" s="25"/>
      <c r="Q176" s="1"/>
    </row>
    <row r="177" spans="2:17" ht="15">
      <c r="B177" s="18" t="str">
        <f>IF(C177="","",VLOOKUP([1]DATA!W168,'[1]DATA Engine'!$A$3:$H$800,2,FALSE))</f>
        <v/>
      </c>
      <c r="C177" s="19" t="str">
        <f>IFERROR(VLOOKUP([1]DATA!W168,'[1]DATA Engine'!$A$3:$H$800,3,FALSE),"")</f>
        <v/>
      </c>
      <c r="D177" s="20" t="str">
        <f>IFERROR(VLOOKUP([1]DATA!W168,'[1]DATA Engine'!$A$3:$H$800,4,FALSE),"")</f>
        <v/>
      </c>
      <c r="E177" s="20" t="str">
        <f>IFERROR(VLOOKUP([1]DATA!W168,'[1]DATA Engine'!$A$3:$H$800,5,FALSE),"")</f>
        <v/>
      </c>
      <c r="F177" s="18" t="str">
        <f>IFERROR(VLOOKUP([1]DATA!W168,'[1]DATA Engine'!$A$3:$H$800,6,FALSE),"")</f>
        <v/>
      </c>
      <c r="G177" s="18" t="str">
        <f>IFERROR(VLOOKUP([1]DATA!W168,'[1]DATA Engine'!$A$3:$H$800,7,FALSE),"")</f>
        <v/>
      </c>
      <c r="H177" s="18" t="str">
        <f>IFERROR(IF(ISNUMBER(SEARCH("GOW",VLOOKUP([1]DATA!W168,'[1]DATA Engine'!$A$3:$H$800,8,FALSE))),"GOW",""),"")</f>
        <v/>
      </c>
      <c r="I177" s="26"/>
      <c r="J177" s="24"/>
      <c r="K177" s="24"/>
      <c r="L177" s="24"/>
      <c r="M177" s="24"/>
      <c r="N177" s="24"/>
      <c r="O177" s="22"/>
      <c r="P177" s="25"/>
      <c r="Q177" s="1"/>
    </row>
    <row r="178" spans="2:17" ht="15">
      <c r="B178" s="18" t="str">
        <f>IF(C178="","",VLOOKUP([1]DATA!W169,'[1]DATA Engine'!$A$3:$H$800,2,FALSE))</f>
        <v/>
      </c>
      <c r="C178" s="19" t="str">
        <f>IFERROR(VLOOKUP([1]DATA!W169,'[1]DATA Engine'!$A$3:$H$800,3,FALSE),"")</f>
        <v/>
      </c>
      <c r="D178" s="20" t="str">
        <f>IFERROR(VLOOKUP([1]DATA!W169,'[1]DATA Engine'!$A$3:$H$800,4,FALSE),"")</f>
        <v/>
      </c>
      <c r="E178" s="20" t="str">
        <f>IFERROR(VLOOKUP([1]DATA!W169,'[1]DATA Engine'!$A$3:$H$800,5,FALSE),"")</f>
        <v/>
      </c>
      <c r="F178" s="18" t="str">
        <f>IFERROR(VLOOKUP([1]DATA!W169,'[1]DATA Engine'!$A$3:$H$800,6,FALSE),"")</f>
        <v/>
      </c>
      <c r="G178" s="18" t="str">
        <f>IFERROR(VLOOKUP([1]DATA!W169,'[1]DATA Engine'!$A$3:$H$800,7,FALSE),"")</f>
        <v/>
      </c>
      <c r="H178" s="18" t="str">
        <f>IFERROR(IF(ISNUMBER(SEARCH("GOW",VLOOKUP([1]DATA!W169,'[1]DATA Engine'!$A$3:$H$800,8,FALSE))),"GOW",""),"")</f>
        <v/>
      </c>
      <c r="I178" s="26"/>
      <c r="J178" s="24"/>
      <c r="K178" s="24"/>
      <c r="L178" s="24"/>
      <c r="M178" s="24"/>
      <c r="N178" s="24"/>
      <c r="O178" s="22"/>
      <c r="P178" s="25"/>
      <c r="Q178" s="1"/>
    </row>
    <row r="179" spans="2:17" ht="15">
      <c r="B179" s="18" t="str">
        <f>IF(C179="","",VLOOKUP([1]DATA!W170,'[1]DATA Engine'!$A$3:$H$800,2,FALSE))</f>
        <v/>
      </c>
      <c r="C179" s="19" t="str">
        <f>IFERROR(VLOOKUP([1]DATA!W170,'[1]DATA Engine'!$A$3:$H$800,3,FALSE),"")</f>
        <v/>
      </c>
      <c r="D179" s="20" t="str">
        <f>IFERROR(VLOOKUP([1]DATA!W170,'[1]DATA Engine'!$A$3:$H$800,4,FALSE),"")</f>
        <v/>
      </c>
      <c r="E179" s="20" t="str">
        <f>IFERROR(VLOOKUP([1]DATA!W170,'[1]DATA Engine'!$A$3:$H$800,5,FALSE),"")</f>
        <v/>
      </c>
      <c r="F179" s="18" t="str">
        <f>IFERROR(VLOOKUP([1]DATA!W170,'[1]DATA Engine'!$A$3:$H$800,6,FALSE),"")</f>
        <v/>
      </c>
      <c r="G179" s="18" t="str">
        <f>IFERROR(VLOOKUP([1]DATA!W170,'[1]DATA Engine'!$A$3:$H$800,7,FALSE),"")</f>
        <v/>
      </c>
      <c r="H179" s="18" t="str">
        <f>IFERROR(IF(ISNUMBER(SEARCH("GOW",VLOOKUP([1]DATA!W170,'[1]DATA Engine'!$A$3:$H$800,8,FALSE))),"GOW",""),"")</f>
        <v/>
      </c>
      <c r="I179" s="26"/>
      <c r="J179" s="24"/>
      <c r="K179" s="24"/>
      <c r="L179" s="24"/>
      <c r="M179" s="24"/>
      <c r="N179" s="24"/>
      <c r="O179" s="22"/>
      <c r="P179" s="25"/>
      <c r="Q179" s="1"/>
    </row>
    <row r="180" spans="2:17" ht="15">
      <c r="B180" s="18" t="str">
        <f>IF(C180="","",VLOOKUP([1]DATA!W171,'[1]DATA Engine'!$A$3:$H$800,2,FALSE))</f>
        <v/>
      </c>
      <c r="C180" s="19" t="str">
        <f>IFERROR(VLOOKUP([1]DATA!W171,'[1]DATA Engine'!$A$3:$H$800,3,FALSE),"")</f>
        <v/>
      </c>
      <c r="D180" s="20" t="str">
        <f>IFERROR(VLOOKUP([1]DATA!W171,'[1]DATA Engine'!$A$3:$H$800,4,FALSE),"")</f>
        <v/>
      </c>
      <c r="E180" s="20" t="str">
        <f>IFERROR(VLOOKUP([1]DATA!W171,'[1]DATA Engine'!$A$3:$H$800,5,FALSE),"")</f>
        <v/>
      </c>
      <c r="F180" s="18" t="str">
        <f>IFERROR(VLOOKUP([1]DATA!W171,'[1]DATA Engine'!$A$3:$H$800,6,FALSE),"")</f>
        <v/>
      </c>
      <c r="G180" s="18" t="str">
        <f>IFERROR(VLOOKUP([1]DATA!W171,'[1]DATA Engine'!$A$3:$H$800,7,FALSE),"")</f>
        <v/>
      </c>
      <c r="H180" s="18" t="str">
        <f>IFERROR(IF(ISNUMBER(SEARCH("GOW",VLOOKUP([1]DATA!W171,'[1]DATA Engine'!$A$3:$H$800,8,FALSE))),"GOW",""),"")</f>
        <v/>
      </c>
      <c r="I180" s="26"/>
      <c r="J180" s="24"/>
      <c r="K180" s="24"/>
      <c r="L180" s="24"/>
      <c r="M180" s="24"/>
      <c r="N180" s="24"/>
      <c r="O180" s="22"/>
      <c r="P180" s="25"/>
      <c r="Q180" s="1"/>
    </row>
    <row r="181" spans="2:17" ht="15">
      <c r="B181" s="18" t="str">
        <f>IF(C181="","",VLOOKUP([1]DATA!W172,'[1]DATA Engine'!$A$3:$H$800,2,FALSE))</f>
        <v/>
      </c>
      <c r="C181" s="19" t="str">
        <f>IFERROR(VLOOKUP([1]DATA!W172,'[1]DATA Engine'!$A$3:$H$800,3,FALSE),"")</f>
        <v/>
      </c>
      <c r="D181" s="20" t="str">
        <f>IFERROR(VLOOKUP([1]DATA!W172,'[1]DATA Engine'!$A$3:$H$800,4,FALSE),"")</f>
        <v/>
      </c>
      <c r="E181" s="20" t="str">
        <f>IFERROR(VLOOKUP([1]DATA!W172,'[1]DATA Engine'!$A$3:$H$800,5,FALSE),"")</f>
        <v/>
      </c>
      <c r="F181" s="18" t="str">
        <f>IFERROR(VLOOKUP([1]DATA!W172,'[1]DATA Engine'!$A$3:$H$800,6,FALSE),"")</f>
        <v/>
      </c>
      <c r="G181" s="18" t="str">
        <f>IFERROR(VLOOKUP([1]DATA!W172,'[1]DATA Engine'!$A$3:$H$800,7,FALSE),"")</f>
        <v/>
      </c>
      <c r="H181" s="18" t="str">
        <f>IFERROR(IF(ISNUMBER(SEARCH("GOW",VLOOKUP([1]DATA!W172,'[1]DATA Engine'!$A$3:$H$800,8,FALSE))),"GOW",""),"")</f>
        <v/>
      </c>
      <c r="I181" s="26"/>
      <c r="J181" s="24"/>
      <c r="K181" s="24"/>
      <c r="L181" s="24"/>
      <c r="M181" s="24"/>
      <c r="N181" s="24"/>
      <c r="O181" s="22"/>
      <c r="P181" s="25"/>
      <c r="Q181" s="1"/>
    </row>
    <row r="182" spans="2:17" ht="15">
      <c r="B182" s="18" t="str">
        <f>IF(C182="","",VLOOKUP([1]DATA!W173,'[1]DATA Engine'!$A$3:$H$800,2,FALSE))</f>
        <v/>
      </c>
      <c r="C182" s="19" t="str">
        <f>IFERROR(VLOOKUP([1]DATA!W173,'[1]DATA Engine'!$A$3:$H$800,3,FALSE),"")</f>
        <v/>
      </c>
      <c r="D182" s="20" t="str">
        <f>IFERROR(VLOOKUP([1]DATA!W173,'[1]DATA Engine'!$A$3:$H$800,4,FALSE),"")</f>
        <v/>
      </c>
      <c r="E182" s="20" t="str">
        <f>IFERROR(VLOOKUP([1]DATA!W173,'[1]DATA Engine'!$A$3:$H$800,5,FALSE),"")</f>
        <v/>
      </c>
      <c r="F182" s="18" t="str">
        <f>IFERROR(VLOOKUP([1]DATA!W173,'[1]DATA Engine'!$A$3:$H$800,6,FALSE),"")</f>
        <v/>
      </c>
      <c r="G182" s="18" t="str">
        <f>IFERROR(VLOOKUP([1]DATA!W173,'[1]DATA Engine'!$A$3:$H$800,7,FALSE),"")</f>
        <v/>
      </c>
      <c r="H182" s="18" t="str">
        <f>IFERROR(IF(ISNUMBER(SEARCH("GOW",VLOOKUP([1]DATA!W173,'[1]DATA Engine'!$A$3:$H$800,8,FALSE))),"GOW",""),"")</f>
        <v/>
      </c>
      <c r="I182" s="26"/>
      <c r="J182" s="24"/>
      <c r="K182" s="24"/>
      <c r="L182" s="24"/>
      <c r="M182" s="24"/>
      <c r="N182" s="24"/>
      <c r="O182" s="22"/>
      <c r="P182" s="25"/>
      <c r="Q182" s="1"/>
    </row>
    <row r="183" spans="2:17" ht="15">
      <c r="B183" s="18" t="str">
        <f>IF(C183="","",VLOOKUP([1]DATA!W174,'[1]DATA Engine'!$A$3:$H$800,2,FALSE))</f>
        <v/>
      </c>
      <c r="C183" s="19" t="str">
        <f>IFERROR(VLOOKUP([1]DATA!W174,'[1]DATA Engine'!$A$3:$H$800,3,FALSE),"")</f>
        <v/>
      </c>
      <c r="D183" s="20" t="str">
        <f>IFERROR(VLOOKUP([1]DATA!W174,'[1]DATA Engine'!$A$3:$H$800,4,FALSE),"")</f>
        <v/>
      </c>
      <c r="E183" s="20" t="str">
        <f>IFERROR(VLOOKUP([1]DATA!W174,'[1]DATA Engine'!$A$3:$H$800,5,FALSE),"")</f>
        <v/>
      </c>
      <c r="F183" s="18" t="str">
        <f>IFERROR(VLOOKUP([1]DATA!W174,'[1]DATA Engine'!$A$3:$H$800,6,FALSE),"")</f>
        <v/>
      </c>
      <c r="G183" s="18" t="str">
        <f>IFERROR(VLOOKUP([1]DATA!W174,'[1]DATA Engine'!$A$3:$H$800,7,FALSE),"")</f>
        <v/>
      </c>
      <c r="H183" s="18" t="str">
        <f>IFERROR(IF(ISNUMBER(SEARCH("GOW",VLOOKUP([1]DATA!W174,'[1]DATA Engine'!$A$3:$H$800,8,FALSE))),"GOW",""),"")</f>
        <v/>
      </c>
      <c r="I183" s="26"/>
      <c r="J183" s="24"/>
      <c r="K183" s="24"/>
      <c r="L183" s="24"/>
      <c r="M183" s="24"/>
      <c r="N183" s="24"/>
      <c r="O183" s="22"/>
      <c r="P183" s="25"/>
      <c r="Q183" s="1"/>
    </row>
    <row r="184" spans="2:17" ht="15">
      <c r="B184" s="18" t="str">
        <f>IF(C184="","",VLOOKUP([1]DATA!W175,'[1]DATA Engine'!$A$3:$H$800,2,FALSE))</f>
        <v/>
      </c>
      <c r="C184" s="19" t="str">
        <f>IFERROR(VLOOKUP([1]DATA!W175,'[1]DATA Engine'!$A$3:$H$800,3,FALSE),"")</f>
        <v/>
      </c>
      <c r="D184" s="20" t="str">
        <f>IFERROR(VLOOKUP([1]DATA!W175,'[1]DATA Engine'!$A$3:$H$800,4,FALSE),"")</f>
        <v/>
      </c>
      <c r="E184" s="20" t="str">
        <f>IFERROR(VLOOKUP([1]DATA!W175,'[1]DATA Engine'!$A$3:$H$800,5,FALSE),"")</f>
        <v/>
      </c>
      <c r="F184" s="18" t="str">
        <f>IFERROR(VLOOKUP([1]DATA!W175,'[1]DATA Engine'!$A$3:$H$800,6,FALSE),"")</f>
        <v/>
      </c>
      <c r="G184" s="18" t="str">
        <f>IFERROR(VLOOKUP([1]DATA!W175,'[1]DATA Engine'!$A$3:$H$800,7,FALSE),"")</f>
        <v/>
      </c>
      <c r="H184" s="18" t="str">
        <f>IFERROR(IF(ISNUMBER(SEARCH("GOW",VLOOKUP([1]DATA!W175,'[1]DATA Engine'!$A$3:$H$800,8,FALSE))),"GOW",""),"")</f>
        <v/>
      </c>
      <c r="I184" s="26"/>
      <c r="J184" s="24"/>
      <c r="K184" s="24"/>
      <c r="L184" s="24"/>
      <c r="M184" s="24"/>
      <c r="N184" s="24"/>
      <c r="O184" s="22"/>
      <c r="P184" s="25"/>
      <c r="Q184" s="1"/>
    </row>
    <row r="185" spans="2:17" ht="15">
      <c r="B185" s="18" t="str">
        <f>IF(C185="","",VLOOKUP([1]DATA!W176,'[1]DATA Engine'!$A$3:$H$800,2,FALSE))</f>
        <v/>
      </c>
      <c r="C185" s="19" t="str">
        <f>IFERROR(VLOOKUP([1]DATA!W176,'[1]DATA Engine'!$A$3:$H$800,3,FALSE),"")</f>
        <v/>
      </c>
      <c r="D185" s="20" t="str">
        <f>IFERROR(VLOOKUP([1]DATA!W176,'[1]DATA Engine'!$A$3:$H$800,4,FALSE),"")</f>
        <v/>
      </c>
      <c r="E185" s="20" t="str">
        <f>IFERROR(VLOOKUP([1]DATA!W176,'[1]DATA Engine'!$A$3:$H$800,5,FALSE),"")</f>
        <v/>
      </c>
      <c r="F185" s="18" t="str">
        <f>IFERROR(VLOOKUP([1]DATA!W176,'[1]DATA Engine'!$A$3:$H$800,6,FALSE),"")</f>
        <v/>
      </c>
      <c r="G185" s="18" t="str">
        <f>IFERROR(VLOOKUP([1]DATA!W176,'[1]DATA Engine'!$A$3:$H$800,7,FALSE),"")</f>
        <v/>
      </c>
      <c r="H185" s="18" t="str">
        <f>IFERROR(IF(ISNUMBER(SEARCH("GOW",VLOOKUP([1]DATA!W176,'[1]DATA Engine'!$A$3:$H$800,8,FALSE))),"GOW",""),"")</f>
        <v/>
      </c>
      <c r="I185" s="26"/>
      <c r="J185" s="24"/>
      <c r="K185" s="24"/>
      <c r="L185" s="24"/>
      <c r="M185" s="24"/>
      <c r="N185" s="24"/>
      <c r="O185" s="22"/>
      <c r="P185" s="25"/>
      <c r="Q185" s="1"/>
    </row>
    <row r="186" spans="2:17" ht="15">
      <c r="B186" s="18" t="str">
        <f>IF(C186="","",VLOOKUP([1]DATA!W177,'[1]DATA Engine'!$A$3:$H$800,2,FALSE))</f>
        <v/>
      </c>
      <c r="C186" s="19" t="str">
        <f>IFERROR(VLOOKUP([1]DATA!W177,'[1]DATA Engine'!$A$3:$H$800,3,FALSE),"")</f>
        <v/>
      </c>
      <c r="D186" s="20" t="str">
        <f>IFERROR(VLOOKUP([1]DATA!W177,'[1]DATA Engine'!$A$3:$H$800,4,FALSE),"")</f>
        <v/>
      </c>
      <c r="E186" s="20" t="str">
        <f>IFERROR(VLOOKUP([1]DATA!W177,'[1]DATA Engine'!$A$3:$H$800,5,FALSE),"")</f>
        <v/>
      </c>
      <c r="F186" s="18" t="str">
        <f>IFERROR(VLOOKUP([1]DATA!W177,'[1]DATA Engine'!$A$3:$H$800,6,FALSE),"")</f>
        <v/>
      </c>
      <c r="G186" s="18" t="str">
        <f>IFERROR(VLOOKUP([1]DATA!W177,'[1]DATA Engine'!$A$3:$H$800,7,FALSE),"")</f>
        <v/>
      </c>
      <c r="H186" s="18" t="str">
        <f>IFERROR(IF(ISNUMBER(SEARCH("GOW",VLOOKUP([1]DATA!W177,'[1]DATA Engine'!$A$3:$H$800,8,FALSE))),"GOW",""),"")</f>
        <v/>
      </c>
      <c r="I186" s="26"/>
      <c r="J186" s="24"/>
      <c r="K186" s="24"/>
      <c r="L186" s="24"/>
      <c r="M186" s="24"/>
      <c r="N186" s="24"/>
      <c r="O186" s="22"/>
      <c r="P186" s="25"/>
      <c r="Q186" s="1"/>
    </row>
    <row r="187" spans="2:17" ht="15">
      <c r="B187" s="18" t="str">
        <f>IF(C187="","",VLOOKUP([1]DATA!W178,'[1]DATA Engine'!$A$3:$H$800,2,FALSE))</f>
        <v/>
      </c>
      <c r="C187" s="19" t="str">
        <f>IFERROR(VLOOKUP([1]DATA!W178,'[1]DATA Engine'!$A$3:$H$800,3,FALSE),"")</f>
        <v/>
      </c>
      <c r="D187" s="20" t="str">
        <f>IFERROR(VLOOKUP([1]DATA!W178,'[1]DATA Engine'!$A$3:$H$800,4,FALSE),"")</f>
        <v/>
      </c>
      <c r="E187" s="20" t="str">
        <f>IFERROR(VLOOKUP([1]DATA!W178,'[1]DATA Engine'!$A$3:$H$800,5,FALSE),"")</f>
        <v/>
      </c>
      <c r="F187" s="18" t="str">
        <f>IFERROR(VLOOKUP([1]DATA!W178,'[1]DATA Engine'!$A$3:$H$800,6,FALSE),"")</f>
        <v/>
      </c>
      <c r="G187" s="18" t="str">
        <f>IFERROR(VLOOKUP([1]DATA!W178,'[1]DATA Engine'!$A$3:$H$800,7,FALSE),"")</f>
        <v/>
      </c>
      <c r="H187" s="18" t="str">
        <f>IFERROR(IF(ISNUMBER(SEARCH("GOW",VLOOKUP([1]DATA!W178,'[1]DATA Engine'!$A$3:$H$800,8,FALSE))),"GOW",""),"")</f>
        <v/>
      </c>
      <c r="I187" s="26"/>
      <c r="J187" s="24"/>
      <c r="K187" s="24"/>
      <c r="L187" s="24"/>
      <c r="M187" s="24"/>
      <c r="N187" s="24"/>
      <c r="O187" s="22"/>
      <c r="P187" s="25"/>
      <c r="Q187" s="1"/>
    </row>
    <row r="188" spans="2:17" ht="15">
      <c r="B188" s="18" t="str">
        <f>IF(C188="","",VLOOKUP([1]DATA!W179,'[1]DATA Engine'!$A$3:$H$800,2,FALSE))</f>
        <v/>
      </c>
      <c r="C188" s="19" t="str">
        <f>IFERROR(VLOOKUP([1]DATA!W179,'[1]DATA Engine'!$A$3:$H$800,3,FALSE),"")</f>
        <v/>
      </c>
      <c r="D188" s="20" t="str">
        <f>IFERROR(VLOOKUP([1]DATA!W179,'[1]DATA Engine'!$A$3:$H$800,4,FALSE),"")</f>
        <v/>
      </c>
      <c r="E188" s="20" t="str">
        <f>IFERROR(VLOOKUP([1]DATA!W179,'[1]DATA Engine'!$A$3:$H$800,5,FALSE),"")</f>
        <v/>
      </c>
      <c r="F188" s="18" t="str">
        <f>IFERROR(VLOOKUP([1]DATA!W179,'[1]DATA Engine'!$A$3:$H$800,6,FALSE),"")</f>
        <v/>
      </c>
      <c r="G188" s="18" t="str">
        <f>IFERROR(VLOOKUP([1]DATA!W179,'[1]DATA Engine'!$A$3:$H$800,7,FALSE),"")</f>
        <v/>
      </c>
      <c r="H188" s="18" t="str">
        <f>IFERROR(IF(ISNUMBER(SEARCH("GOW",VLOOKUP([1]DATA!W179,'[1]DATA Engine'!$A$3:$H$800,8,FALSE))),"GOW",""),"")</f>
        <v/>
      </c>
      <c r="I188" s="26"/>
      <c r="J188" s="24"/>
      <c r="K188" s="24"/>
      <c r="L188" s="24"/>
      <c r="M188" s="24"/>
      <c r="N188" s="24"/>
      <c r="O188" s="22"/>
      <c r="P188" s="25"/>
      <c r="Q188" s="1"/>
    </row>
    <row r="189" spans="2:17" ht="15">
      <c r="B189" s="18" t="str">
        <f>IF(C189="","",VLOOKUP([1]DATA!W180,'[1]DATA Engine'!$A$3:$H$800,2,FALSE))</f>
        <v/>
      </c>
      <c r="C189" s="19" t="str">
        <f>IFERROR(VLOOKUP([1]DATA!W180,'[1]DATA Engine'!$A$3:$H$800,3,FALSE),"")</f>
        <v/>
      </c>
      <c r="D189" s="20" t="str">
        <f>IFERROR(VLOOKUP([1]DATA!W180,'[1]DATA Engine'!$A$3:$H$800,4,FALSE),"")</f>
        <v/>
      </c>
      <c r="E189" s="20" t="str">
        <f>IFERROR(VLOOKUP([1]DATA!W180,'[1]DATA Engine'!$A$3:$H$800,5,FALSE),"")</f>
        <v/>
      </c>
      <c r="F189" s="18" t="str">
        <f>IFERROR(VLOOKUP([1]DATA!W180,'[1]DATA Engine'!$A$3:$H$800,6,FALSE),"")</f>
        <v/>
      </c>
      <c r="G189" s="18" t="str">
        <f>IFERROR(VLOOKUP([1]DATA!W180,'[1]DATA Engine'!$A$3:$H$800,7,FALSE),"")</f>
        <v/>
      </c>
      <c r="H189" s="18" t="str">
        <f>IFERROR(IF(ISNUMBER(SEARCH("GOW",VLOOKUP([1]DATA!W180,'[1]DATA Engine'!$A$3:$H$800,8,FALSE))),"GOW",""),"")</f>
        <v/>
      </c>
      <c r="I189" s="26"/>
      <c r="J189" s="24"/>
      <c r="K189" s="24"/>
      <c r="L189" s="24"/>
      <c r="M189" s="24"/>
      <c r="N189" s="24"/>
      <c r="O189" s="22"/>
      <c r="P189" s="25"/>
      <c r="Q189" s="1"/>
    </row>
    <row r="190" spans="2:17" ht="15">
      <c r="B190" s="18" t="str">
        <f>IF(C190="","",VLOOKUP([1]DATA!W181,'[1]DATA Engine'!$A$3:$H$800,2,FALSE))</f>
        <v/>
      </c>
      <c r="C190" s="19" t="str">
        <f>IFERROR(VLOOKUP([1]DATA!W181,'[1]DATA Engine'!$A$3:$H$800,3,FALSE),"")</f>
        <v/>
      </c>
      <c r="D190" s="20" t="str">
        <f>IFERROR(VLOOKUP([1]DATA!W181,'[1]DATA Engine'!$A$3:$H$800,4,FALSE),"")</f>
        <v/>
      </c>
      <c r="E190" s="20" t="str">
        <f>IFERROR(VLOOKUP([1]DATA!W181,'[1]DATA Engine'!$A$3:$H$800,5,FALSE),"")</f>
        <v/>
      </c>
      <c r="F190" s="18" t="str">
        <f>IFERROR(VLOOKUP([1]DATA!W181,'[1]DATA Engine'!$A$3:$H$800,6,FALSE),"")</f>
        <v/>
      </c>
      <c r="G190" s="18" t="str">
        <f>IFERROR(VLOOKUP([1]DATA!W181,'[1]DATA Engine'!$A$3:$H$800,7,FALSE),"")</f>
        <v/>
      </c>
      <c r="H190" s="18" t="str">
        <f>IFERROR(IF(ISNUMBER(SEARCH("GOW",VLOOKUP([1]DATA!W181,'[1]DATA Engine'!$A$3:$H$800,8,FALSE))),"GOW",""),"")</f>
        <v/>
      </c>
      <c r="I190" s="26"/>
      <c r="J190" s="24"/>
      <c r="K190" s="24"/>
      <c r="L190" s="24"/>
      <c r="M190" s="24"/>
      <c r="N190" s="24"/>
      <c r="O190" s="22"/>
      <c r="P190" s="25"/>
      <c r="Q190" s="1"/>
    </row>
    <row r="191" spans="2:17" ht="15">
      <c r="B191" s="18" t="str">
        <f>IF(C191="","",VLOOKUP([1]DATA!W182,'[1]DATA Engine'!$A$3:$H$800,2,FALSE))</f>
        <v/>
      </c>
      <c r="C191" s="19" t="str">
        <f>IFERROR(VLOOKUP([1]DATA!W182,'[1]DATA Engine'!$A$3:$H$800,3,FALSE),"")</f>
        <v/>
      </c>
      <c r="D191" s="20" t="str">
        <f>IFERROR(VLOOKUP([1]DATA!W182,'[1]DATA Engine'!$A$3:$H$800,4,FALSE),"")</f>
        <v/>
      </c>
      <c r="E191" s="20" t="str">
        <f>IFERROR(VLOOKUP([1]DATA!W182,'[1]DATA Engine'!$A$3:$H$800,5,FALSE),"")</f>
        <v/>
      </c>
      <c r="F191" s="18" t="str">
        <f>IFERROR(VLOOKUP([1]DATA!W182,'[1]DATA Engine'!$A$3:$H$800,6,FALSE),"")</f>
        <v/>
      </c>
      <c r="G191" s="18" t="str">
        <f>IFERROR(VLOOKUP([1]DATA!W182,'[1]DATA Engine'!$A$3:$H$800,7,FALSE),"")</f>
        <v/>
      </c>
      <c r="H191" s="18" t="str">
        <f>IFERROR(IF(ISNUMBER(SEARCH("GOW",VLOOKUP([1]DATA!W182,'[1]DATA Engine'!$A$3:$H$800,8,FALSE))),"GOW",""),"")</f>
        <v/>
      </c>
      <c r="I191" s="26"/>
      <c r="J191" s="24"/>
      <c r="K191" s="24"/>
      <c r="L191" s="24"/>
      <c r="M191" s="24"/>
      <c r="N191" s="24"/>
      <c r="O191" s="22"/>
      <c r="P191" s="25"/>
      <c r="Q191" s="1"/>
    </row>
    <row r="192" spans="2:17" ht="15">
      <c r="B192" s="18" t="str">
        <f>IF(C192="","",VLOOKUP([1]DATA!W183,'[1]DATA Engine'!$A$3:$H$800,2,FALSE))</f>
        <v/>
      </c>
      <c r="C192" s="19" t="str">
        <f>IFERROR(VLOOKUP([1]DATA!W183,'[1]DATA Engine'!$A$3:$H$800,3,FALSE),"")</f>
        <v/>
      </c>
      <c r="D192" s="20" t="str">
        <f>IFERROR(VLOOKUP([1]DATA!W183,'[1]DATA Engine'!$A$3:$H$800,4,FALSE),"")</f>
        <v/>
      </c>
      <c r="E192" s="20" t="str">
        <f>IFERROR(VLOOKUP([1]DATA!W183,'[1]DATA Engine'!$A$3:$H$800,5,FALSE),"")</f>
        <v/>
      </c>
      <c r="F192" s="18" t="str">
        <f>IFERROR(VLOOKUP([1]DATA!W183,'[1]DATA Engine'!$A$3:$H$800,6,FALSE),"")</f>
        <v/>
      </c>
      <c r="G192" s="18" t="str">
        <f>IFERROR(VLOOKUP([1]DATA!W183,'[1]DATA Engine'!$A$3:$H$800,7,FALSE),"")</f>
        <v/>
      </c>
      <c r="H192" s="18" t="str">
        <f>IFERROR(IF(ISNUMBER(SEARCH("GOW",VLOOKUP([1]DATA!W183,'[1]DATA Engine'!$A$3:$H$800,8,FALSE))),"GOW",""),"")</f>
        <v/>
      </c>
      <c r="I192" s="26"/>
      <c r="J192" s="24"/>
      <c r="K192" s="24"/>
      <c r="L192" s="24"/>
      <c r="M192" s="24"/>
      <c r="N192" s="24"/>
      <c r="O192" s="22"/>
      <c r="P192" s="25"/>
      <c r="Q192" s="1"/>
    </row>
    <row r="193" spans="2:17" ht="15">
      <c r="B193" s="18" t="str">
        <f>IF(C193="","",VLOOKUP([1]DATA!W184,'[1]DATA Engine'!$A$3:$H$800,2,FALSE))</f>
        <v/>
      </c>
      <c r="C193" s="19" t="str">
        <f>IFERROR(VLOOKUP([1]DATA!W184,'[1]DATA Engine'!$A$3:$H$800,3,FALSE),"")</f>
        <v/>
      </c>
      <c r="D193" s="20" t="str">
        <f>IFERROR(VLOOKUP([1]DATA!W184,'[1]DATA Engine'!$A$3:$H$800,4,FALSE),"")</f>
        <v/>
      </c>
      <c r="E193" s="20" t="str">
        <f>IFERROR(VLOOKUP([1]DATA!W184,'[1]DATA Engine'!$A$3:$H$800,5,FALSE),"")</f>
        <v/>
      </c>
      <c r="F193" s="18" t="str">
        <f>IFERROR(VLOOKUP([1]DATA!W184,'[1]DATA Engine'!$A$3:$H$800,6,FALSE),"")</f>
        <v/>
      </c>
      <c r="G193" s="18" t="str">
        <f>IFERROR(VLOOKUP([1]DATA!W184,'[1]DATA Engine'!$A$3:$H$800,7,FALSE),"")</f>
        <v/>
      </c>
      <c r="H193" s="18" t="str">
        <f>IFERROR(IF(ISNUMBER(SEARCH("GOW",VLOOKUP([1]DATA!W184,'[1]DATA Engine'!$A$3:$H$800,8,FALSE))),"GOW",""),"")</f>
        <v/>
      </c>
      <c r="I193" s="26"/>
      <c r="J193" s="24"/>
      <c r="K193" s="24"/>
      <c r="L193" s="24"/>
      <c r="M193" s="24"/>
      <c r="N193" s="24"/>
      <c r="O193" s="22"/>
      <c r="P193" s="25"/>
      <c r="Q193" s="1"/>
    </row>
    <row r="194" spans="2:17" ht="15">
      <c r="B194" s="18" t="str">
        <f>IF(C194="","",VLOOKUP([1]DATA!W185,'[1]DATA Engine'!$A$3:$H$800,2,FALSE))</f>
        <v/>
      </c>
      <c r="C194" s="19" t="str">
        <f>IFERROR(VLOOKUP([1]DATA!W185,'[1]DATA Engine'!$A$3:$H$800,3,FALSE),"")</f>
        <v/>
      </c>
      <c r="D194" s="20" t="str">
        <f>IFERROR(VLOOKUP([1]DATA!W185,'[1]DATA Engine'!$A$3:$H$800,4,FALSE),"")</f>
        <v/>
      </c>
      <c r="E194" s="20" t="str">
        <f>IFERROR(VLOOKUP([1]DATA!W185,'[1]DATA Engine'!$A$3:$H$800,5,FALSE),"")</f>
        <v/>
      </c>
      <c r="F194" s="18" t="str">
        <f>IFERROR(VLOOKUP([1]DATA!W185,'[1]DATA Engine'!$A$3:$H$800,6,FALSE),"")</f>
        <v/>
      </c>
      <c r="G194" s="18" t="str">
        <f>IFERROR(VLOOKUP([1]DATA!W185,'[1]DATA Engine'!$A$3:$H$800,7,FALSE),"")</f>
        <v/>
      </c>
      <c r="H194" s="18" t="str">
        <f>IFERROR(IF(ISNUMBER(SEARCH("GOW",VLOOKUP([1]DATA!W185,'[1]DATA Engine'!$A$3:$H$800,8,FALSE))),"GOW",""),"")</f>
        <v/>
      </c>
      <c r="I194" s="26"/>
      <c r="J194" s="24"/>
      <c r="K194" s="24"/>
      <c r="L194" s="24"/>
      <c r="M194" s="24"/>
      <c r="N194" s="24"/>
      <c r="O194" s="22"/>
      <c r="P194" s="25"/>
      <c r="Q194" s="1"/>
    </row>
    <row r="195" spans="2:17" ht="15">
      <c r="B195" s="18" t="str">
        <f>IF(C195="","",VLOOKUP([1]DATA!W186,'[1]DATA Engine'!$A$3:$H$800,2,FALSE))</f>
        <v/>
      </c>
      <c r="C195" s="19" t="str">
        <f>IFERROR(VLOOKUP([1]DATA!W186,'[1]DATA Engine'!$A$3:$H$800,3,FALSE),"")</f>
        <v/>
      </c>
      <c r="D195" s="20" t="str">
        <f>IFERROR(VLOOKUP([1]DATA!W186,'[1]DATA Engine'!$A$3:$H$800,4,FALSE),"")</f>
        <v/>
      </c>
      <c r="E195" s="20" t="str">
        <f>IFERROR(VLOOKUP([1]DATA!W186,'[1]DATA Engine'!$A$3:$H$800,5,FALSE),"")</f>
        <v/>
      </c>
      <c r="F195" s="18" t="str">
        <f>IFERROR(VLOOKUP([1]DATA!W186,'[1]DATA Engine'!$A$3:$H$800,6,FALSE),"")</f>
        <v/>
      </c>
      <c r="G195" s="18" t="str">
        <f>IFERROR(VLOOKUP([1]DATA!W186,'[1]DATA Engine'!$A$3:$H$800,7,FALSE),"")</f>
        <v/>
      </c>
      <c r="H195" s="18" t="str">
        <f>IFERROR(IF(ISNUMBER(SEARCH("GOW",VLOOKUP([1]DATA!W186,'[1]DATA Engine'!$A$3:$H$800,8,FALSE))),"GOW",""),"")</f>
        <v/>
      </c>
      <c r="I195" s="26"/>
      <c r="J195" s="24"/>
      <c r="K195" s="24"/>
      <c r="L195" s="24"/>
      <c r="M195" s="24"/>
      <c r="N195" s="24"/>
      <c r="O195" s="22"/>
      <c r="P195" s="25"/>
      <c r="Q195" s="1"/>
    </row>
    <row r="196" spans="2:17" ht="15">
      <c r="B196" s="18" t="str">
        <f>IF(C196="","",VLOOKUP([1]DATA!W187,'[1]DATA Engine'!$A$3:$H$800,2,FALSE))</f>
        <v/>
      </c>
      <c r="C196" s="19" t="str">
        <f>IFERROR(VLOOKUP([1]DATA!W187,'[1]DATA Engine'!$A$3:$H$800,3,FALSE),"")</f>
        <v/>
      </c>
      <c r="D196" s="20" t="str">
        <f>IFERROR(VLOOKUP([1]DATA!W187,'[1]DATA Engine'!$A$3:$H$800,4,FALSE),"")</f>
        <v/>
      </c>
      <c r="E196" s="20" t="str">
        <f>IFERROR(VLOOKUP([1]DATA!W187,'[1]DATA Engine'!$A$3:$H$800,5,FALSE),"")</f>
        <v/>
      </c>
      <c r="F196" s="18" t="str">
        <f>IFERROR(VLOOKUP([1]DATA!W187,'[1]DATA Engine'!$A$3:$H$800,6,FALSE),"")</f>
        <v/>
      </c>
      <c r="G196" s="18" t="str">
        <f>IFERROR(VLOOKUP([1]DATA!W187,'[1]DATA Engine'!$A$3:$H$800,7,FALSE),"")</f>
        <v/>
      </c>
      <c r="H196" s="18" t="str">
        <f>IFERROR(IF(ISNUMBER(SEARCH("GOW",VLOOKUP([1]DATA!W187,'[1]DATA Engine'!$A$3:$H$800,8,FALSE))),"GOW",""),"")</f>
        <v/>
      </c>
      <c r="I196" s="26"/>
      <c r="J196" s="24"/>
      <c r="K196" s="24"/>
      <c r="L196" s="24"/>
      <c r="M196" s="24"/>
      <c r="N196" s="24"/>
      <c r="O196" s="22"/>
      <c r="P196" s="25"/>
      <c r="Q196" s="1"/>
    </row>
    <row r="197" spans="2:17" ht="15">
      <c r="B197" s="18" t="str">
        <f>IF(C197="","",VLOOKUP([1]DATA!W188,'[1]DATA Engine'!$A$3:$H$800,2,FALSE))</f>
        <v/>
      </c>
      <c r="C197" s="19" t="str">
        <f>IFERROR(VLOOKUP([1]DATA!W188,'[1]DATA Engine'!$A$3:$H$800,3,FALSE),"")</f>
        <v/>
      </c>
      <c r="D197" s="20" t="str">
        <f>IFERROR(VLOOKUP([1]DATA!W188,'[1]DATA Engine'!$A$3:$H$800,4,FALSE),"")</f>
        <v/>
      </c>
      <c r="E197" s="20" t="str">
        <f>IFERROR(VLOOKUP([1]DATA!W188,'[1]DATA Engine'!$A$3:$H$800,5,FALSE),"")</f>
        <v/>
      </c>
      <c r="F197" s="18" t="str">
        <f>IFERROR(VLOOKUP([1]DATA!W188,'[1]DATA Engine'!$A$3:$H$800,6,FALSE),"")</f>
        <v/>
      </c>
      <c r="G197" s="18" t="str">
        <f>IFERROR(VLOOKUP([1]DATA!W188,'[1]DATA Engine'!$A$3:$H$800,7,FALSE),"")</f>
        <v/>
      </c>
      <c r="H197" s="18" t="str">
        <f>IFERROR(IF(ISNUMBER(SEARCH("GOW",VLOOKUP([1]DATA!W188,'[1]DATA Engine'!$A$3:$H$800,8,FALSE))),"GOW",""),"")</f>
        <v/>
      </c>
      <c r="I197" s="26"/>
      <c r="J197" s="24"/>
      <c r="K197" s="24"/>
      <c r="L197" s="24"/>
      <c r="M197" s="24"/>
      <c r="N197" s="24"/>
      <c r="O197" s="24"/>
      <c r="P197" s="25"/>
      <c r="Q197" s="1"/>
    </row>
    <row r="198" spans="2:17" ht="15">
      <c r="B198" s="18" t="str">
        <f>IF(C198="","",VLOOKUP([1]DATA!W189,'[1]DATA Engine'!$A$3:$H$800,2,FALSE))</f>
        <v/>
      </c>
      <c r="C198" s="19" t="str">
        <f>IFERROR(VLOOKUP([1]DATA!W189,'[1]DATA Engine'!$A$3:$H$800,3,FALSE),"")</f>
        <v/>
      </c>
      <c r="D198" s="20" t="str">
        <f>IFERROR(VLOOKUP([1]DATA!W189,'[1]DATA Engine'!$A$3:$H$800,4,FALSE),"")</f>
        <v/>
      </c>
      <c r="E198" s="20" t="str">
        <f>IFERROR(VLOOKUP([1]DATA!W189,'[1]DATA Engine'!$A$3:$H$800,5,FALSE),"")</f>
        <v/>
      </c>
      <c r="F198" s="18" t="str">
        <f>IFERROR(VLOOKUP([1]DATA!W189,'[1]DATA Engine'!$A$3:$H$800,6,FALSE),"")</f>
        <v/>
      </c>
      <c r="G198" s="18" t="str">
        <f>IFERROR(VLOOKUP([1]DATA!W189,'[1]DATA Engine'!$A$3:$H$800,7,FALSE),"")</f>
        <v/>
      </c>
      <c r="H198" s="18" t="str">
        <f>IFERROR(IF(ISNUMBER(SEARCH("GOW",VLOOKUP([1]DATA!W189,'[1]DATA Engine'!$A$3:$H$800,8,FALSE))),"GOW",""),"")</f>
        <v/>
      </c>
      <c r="I198" s="26"/>
      <c r="J198" s="24"/>
      <c r="K198" s="24"/>
      <c r="L198" s="24"/>
      <c r="M198" s="24"/>
      <c r="N198" s="24"/>
      <c r="O198" s="24"/>
      <c r="P198" s="25"/>
      <c r="Q198" s="1"/>
    </row>
    <row r="199" spans="2:17" ht="15">
      <c r="B199" s="18" t="str">
        <f>IF(C199="","",VLOOKUP([1]DATA!W190,'[1]DATA Engine'!$A$3:$H$800,2,FALSE))</f>
        <v/>
      </c>
      <c r="C199" s="19" t="str">
        <f>IFERROR(VLOOKUP([1]DATA!W190,'[1]DATA Engine'!$A$3:$H$800,3,FALSE),"")</f>
        <v/>
      </c>
      <c r="D199" s="20" t="str">
        <f>IFERROR(VLOOKUP([1]DATA!W190,'[1]DATA Engine'!$A$3:$H$800,4,FALSE),"")</f>
        <v/>
      </c>
      <c r="E199" s="20" t="str">
        <f>IFERROR(VLOOKUP([1]DATA!W190,'[1]DATA Engine'!$A$3:$H$800,5,FALSE),"")</f>
        <v/>
      </c>
      <c r="F199" s="18" t="str">
        <f>IFERROR(VLOOKUP([1]DATA!W190,'[1]DATA Engine'!$A$3:$H$800,6,FALSE),"")</f>
        <v/>
      </c>
      <c r="G199" s="18" t="str">
        <f>IFERROR(VLOOKUP([1]DATA!W190,'[1]DATA Engine'!$A$3:$H$800,7,FALSE),"")</f>
        <v/>
      </c>
      <c r="H199" s="18" t="str">
        <f>IFERROR(IF(ISNUMBER(SEARCH("GOW",VLOOKUP([1]DATA!W190,'[1]DATA Engine'!$A$3:$H$800,8,FALSE))),"GOW",""),"")</f>
        <v/>
      </c>
      <c r="I199" s="26"/>
      <c r="J199" s="24"/>
      <c r="K199" s="24"/>
      <c r="L199" s="24"/>
      <c r="M199" s="24"/>
      <c r="N199" s="24"/>
      <c r="O199" s="24"/>
      <c r="P199" s="25"/>
      <c r="Q199" s="1"/>
    </row>
    <row r="200" spans="2:17" ht="15">
      <c r="B200" s="18" t="str">
        <f>IF(C200="","",VLOOKUP([1]DATA!W191,'[1]DATA Engine'!$A$3:$H$800,2,FALSE))</f>
        <v/>
      </c>
      <c r="C200" s="19" t="str">
        <f>IFERROR(VLOOKUP([1]DATA!W191,'[1]DATA Engine'!$A$3:$H$800,3,FALSE),"")</f>
        <v/>
      </c>
      <c r="D200" s="20" t="str">
        <f>IFERROR(VLOOKUP([1]DATA!W191,'[1]DATA Engine'!$A$3:$H$800,4,FALSE),"")</f>
        <v/>
      </c>
      <c r="E200" s="20" t="str">
        <f>IFERROR(VLOOKUP([1]DATA!W191,'[1]DATA Engine'!$A$3:$H$800,5,FALSE),"")</f>
        <v/>
      </c>
      <c r="F200" s="18" t="str">
        <f>IFERROR(VLOOKUP([1]DATA!W191,'[1]DATA Engine'!$A$3:$H$800,6,FALSE),"")</f>
        <v/>
      </c>
      <c r="G200" s="18" t="str">
        <f>IFERROR(VLOOKUP([1]DATA!W191,'[1]DATA Engine'!$A$3:$H$800,7,FALSE),"")</f>
        <v/>
      </c>
      <c r="H200" s="18" t="str">
        <f>IFERROR(IF(ISNUMBER(SEARCH("GOW",VLOOKUP([1]DATA!W191,'[1]DATA Engine'!$A$3:$H$800,8,FALSE))),"GOW",""),"")</f>
        <v/>
      </c>
      <c r="I200" s="26"/>
      <c r="J200" s="24"/>
      <c r="K200" s="24"/>
      <c r="L200" s="24"/>
      <c r="M200" s="24"/>
      <c r="N200" s="24"/>
      <c r="O200" s="24"/>
      <c r="P200" s="25"/>
      <c r="Q200" s="1"/>
    </row>
    <row r="201" spans="2:17" ht="15">
      <c r="B201" s="18" t="str">
        <f>IF(C201="","",VLOOKUP([1]DATA!W192,'[1]DATA Engine'!$A$3:$H$800,2,FALSE))</f>
        <v/>
      </c>
      <c r="C201" s="19" t="str">
        <f>IFERROR(VLOOKUP([1]DATA!W192,'[1]DATA Engine'!$A$3:$H$800,3,FALSE),"")</f>
        <v/>
      </c>
      <c r="D201" s="20" t="str">
        <f>IFERROR(VLOOKUP([1]DATA!W192,'[1]DATA Engine'!$A$3:$H$800,4,FALSE),"")</f>
        <v/>
      </c>
      <c r="E201" s="20" t="str">
        <f>IFERROR(VLOOKUP([1]DATA!W192,'[1]DATA Engine'!$A$3:$H$800,5,FALSE),"")</f>
        <v/>
      </c>
      <c r="F201" s="18" t="str">
        <f>IFERROR(VLOOKUP([1]DATA!W192,'[1]DATA Engine'!$A$3:$H$800,6,FALSE),"")</f>
        <v/>
      </c>
      <c r="G201" s="18" t="str">
        <f>IFERROR(VLOOKUP([1]DATA!W192,'[1]DATA Engine'!$A$3:$H$800,7,FALSE),"")</f>
        <v/>
      </c>
      <c r="H201" s="18" t="str">
        <f>IFERROR(IF(ISNUMBER(SEARCH("GOW",VLOOKUP([1]DATA!W192,'[1]DATA Engine'!$A$3:$H$800,8,FALSE))),"GOW",""),"")</f>
        <v/>
      </c>
      <c r="I201" s="26"/>
      <c r="J201" s="24"/>
      <c r="K201" s="24"/>
      <c r="L201" s="24"/>
      <c r="M201" s="24"/>
      <c r="N201" s="24"/>
      <c r="O201" s="24"/>
      <c r="P201" s="25"/>
      <c r="Q201" s="1"/>
    </row>
    <row r="202" spans="2:17" ht="15">
      <c r="B202" s="18" t="str">
        <f>IF(C202="","",VLOOKUP([1]DATA!W193,'[1]DATA Engine'!$A$3:$H$800,2,FALSE))</f>
        <v/>
      </c>
      <c r="C202" s="19" t="str">
        <f>IFERROR(VLOOKUP([1]DATA!W193,'[1]DATA Engine'!$A$3:$H$800,3,FALSE),"")</f>
        <v/>
      </c>
      <c r="D202" s="20" t="str">
        <f>IFERROR(VLOOKUP([1]DATA!W193,'[1]DATA Engine'!$A$3:$H$800,4,FALSE),"")</f>
        <v/>
      </c>
      <c r="E202" s="20" t="str">
        <f>IFERROR(VLOOKUP([1]DATA!W193,'[1]DATA Engine'!$A$3:$H$800,5,FALSE),"")</f>
        <v/>
      </c>
      <c r="F202" s="18" t="str">
        <f>IFERROR(VLOOKUP([1]DATA!W193,'[1]DATA Engine'!$A$3:$H$800,6,FALSE),"")</f>
        <v/>
      </c>
      <c r="G202" s="18" t="str">
        <f>IFERROR(VLOOKUP([1]DATA!W193,'[1]DATA Engine'!$A$3:$H$800,7,FALSE),"")</f>
        <v/>
      </c>
      <c r="H202" s="18" t="str">
        <f>IFERROR(IF(ISNUMBER(SEARCH("GOW",VLOOKUP([1]DATA!W193,'[1]DATA Engine'!$A$3:$H$800,8,FALSE))),"GOW",""),"")</f>
        <v/>
      </c>
      <c r="I202" s="26"/>
      <c r="J202" s="24"/>
      <c r="K202" s="24"/>
      <c r="L202" s="24"/>
      <c r="M202" s="24"/>
      <c r="N202" s="24"/>
      <c r="O202" s="24"/>
      <c r="P202" s="25"/>
      <c r="Q202" s="1"/>
    </row>
    <row r="203" spans="2:17" ht="15">
      <c r="B203" s="18" t="str">
        <f>IF(C203="","",VLOOKUP([1]DATA!W194,'[1]DATA Engine'!$A$3:$H$800,2,FALSE))</f>
        <v/>
      </c>
      <c r="C203" s="19" t="str">
        <f>IFERROR(VLOOKUP([1]DATA!W194,'[1]DATA Engine'!$A$3:$H$800,3,FALSE),"")</f>
        <v/>
      </c>
      <c r="D203" s="20" t="str">
        <f>IFERROR(VLOOKUP([1]DATA!W194,'[1]DATA Engine'!$A$3:$H$800,4,FALSE),"")</f>
        <v/>
      </c>
      <c r="E203" s="20" t="str">
        <f>IFERROR(VLOOKUP([1]DATA!W194,'[1]DATA Engine'!$A$3:$H$800,5,FALSE),"")</f>
        <v/>
      </c>
      <c r="F203" s="18" t="str">
        <f>IFERROR(VLOOKUP([1]DATA!W194,'[1]DATA Engine'!$A$3:$H$800,6,FALSE),"")</f>
        <v/>
      </c>
      <c r="G203" s="18" t="str">
        <f>IFERROR(VLOOKUP([1]DATA!W194,'[1]DATA Engine'!$A$3:$H$800,7,FALSE),"")</f>
        <v/>
      </c>
      <c r="H203" s="18" t="str">
        <f>IFERROR(IF(ISNUMBER(SEARCH("GOW",VLOOKUP([1]DATA!W194,'[1]DATA Engine'!$A$3:$H$800,8,FALSE))),"GOW",""),"")</f>
        <v/>
      </c>
      <c r="I203" s="26"/>
      <c r="J203" s="24"/>
      <c r="K203" s="24"/>
      <c r="L203" s="24"/>
      <c r="M203" s="24"/>
      <c r="N203" s="24"/>
      <c r="O203" s="24"/>
      <c r="P203" s="25"/>
      <c r="Q203" s="1"/>
    </row>
    <row r="204" spans="2:17" ht="15">
      <c r="B204" s="18" t="str">
        <f>IF(C204="","",VLOOKUP([1]DATA!W195,'[1]DATA Engine'!$A$3:$H$800,2,FALSE))</f>
        <v/>
      </c>
      <c r="C204" s="19" t="str">
        <f>IFERROR(VLOOKUP([1]DATA!W195,'[1]DATA Engine'!$A$3:$H$800,3,FALSE),"")</f>
        <v/>
      </c>
      <c r="D204" s="20" t="str">
        <f>IFERROR(VLOOKUP([1]DATA!W195,'[1]DATA Engine'!$A$3:$H$800,4,FALSE),"")</f>
        <v/>
      </c>
      <c r="E204" s="20" t="str">
        <f>IFERROR(VLOOKUP([1]DATA!W195,'[1]DATA Engine'!$A$3:$H$800,5,FALSE),"")</f>
        <v/>
      </c>
      <c r="F204" s="18" t="str">
        <f>IFERROR(VLOOKUP([1]DATA!W195,'[1]DATA Engine'!$A$3:$H$800,6,FALSE),"")</f>
        <v/>
      </c>
      <c r="G204" s="18" t="str">
        <f>IFERROR(VLOOKUP([1]DATA!W195,'[1]DATA Engine'!$A$3:$H$800,7,FALSE),"")</f>
        <v/>
      </c>
      <c r="H204" s="18" t="str">
        <f>IFERROR(IF(ISNUMBER(SEARCH("GOW",VLOOKUP([1]DATA!W195,'[1]DATA Engine'!$A$3:$H$800,8,FALSE))),"GOW",""),"")</f>
        <v/>
      </c>
      <c r="I204" s="26"/>
      <c r="J204" s="24"/>
      <c r="K204" s="24"/>
      <c r="L204" s="24"/>
      <c r="M204" s="24"/>
      <c r="N204" s="24"/>
      <c r="O204" s="24"/>
      <c r="P204" s="25"/>
      <c r="Q204" s="1"/>
    </row>
    <row r="205" spans="2:17" ht="15">
      <c r="B205" s="18" t="str">
        <f>IF(C205="","",VLOOKUP([1]DATA!W196,'[1]DATA Engine'!$A$3:$H$800,2,FALSE))</f>
        <v/>
      </c>
      <c r="C205" s="19" t="str">
        <f>IFERROR(VLOOKUP([1]DATA!W196,'[1]DATA Engine'!$A$3:$H$800,3,FALSE),"")</f>
        <v/>
      </c>
      <c r="D205" s="20" t="str">
        <f>IFERROR(VLOOKUP([1]DATA!W196,'[1]DATA Engine'!$A$3:$H$800,4,FALSE),"")</f>
        <v/>
      </c>
      <c r="E205" s="20" t="str">
        <f>IFERROR(VLOOKUP([1]DATA!W196,'[1]DATA Engine'!$A$3:$H$800,5,FALSE),"")</f>
        <v/>
      </c>
      <c r="F205" s="18" t="str">
        <f>IFERROR(VLOOKUP([1]DATA!W196,'[1]DATA Engine'!$A$3:$H$800,6,FALSE),"")</f>
        <v/>
      </c>
      <c r="G205" s="18" t="str">
        <f>IFERROR(VLOOKUP([1]DATA!W196,'[1]DATA Engine'!$A$3:$H$800,7,FALSE),"")</f>
        <v/>
      </c>
      <c r="H205" s="18" t="str">
        <f>IFERROR(IF(ISNUMBER(SEARCH("GOW",VLOOKUP([1]DATA!W196,'[1]DATA Engine'!$A$3:$H$800,8,FALSE))),"GOW",""),"")</f>
        <v/>
      </c>
      <c r="I205" s="26"/>
      <c r="J205" s="24"/>
      <c r="K205" s="24"/>
      <c r="L205" s="24"/>
      <c r="M205" s="24"/>
      <c r="N205" s="24"/>
      <c r="O205" s="24"/>
      <c r="P205" s="25"/>
      <c r="Q205" s="1"/>
    </row>
    <row r="206" spans="2:17" ht="15">
      <c r="B206" s="18" t="str">
        <f>IF(C206="","",VLOOKUP([1]DATA!W197,'[1]DATA Engine'!$A$3:$H$800,2,FALSE))</f>
        <v/>
      </c>
      <c r="C206" s="19" t="str">
        <f>IFERROR(VLOOKUP([1]DATA!W197,'[1]DATA Engine'!$A$3:$H$800,3,FALSE),"")</f>
        <v/>
      </c>
      <c r="D206" s="20" t="str">
        <f>IFERROR(VLOOKUP([1]DATA!W197,'[1]DATA Engine'!$A$3:$H$800,4,FALSE),"")</f>
        <v/>
      </c>
      <c r="E206" s="20" t="str">
        <f>IFERROR(VLOOKUP([1]DATA!W197,'[1]DATA Engine'!$A$3:$H$800,5,FALSE),"")</f>
        <v/>
      </c>
      <c r="F206" s="18" t="str">
        <f>IFERROR(VLOOKUP([1]DATA!W197,'[1]DATA Engine'!$A$3:$H$800,6,FALSE),"")</f>
        <v/>
      </c>
      <c r="G206" s="18" t="str">
        <f>IFERROR(VLOOKUP([1]DATA!W197,'[1]DATA Engine'!$A$3:$H$800,7,FALSE),"")</f>
        <v/>
      </c>
      <c r="H206" s="18" t="str">
        <f>IFERROR(IF(ISNUMBER(SEARCH("GOW",VLOOKUP([1]DATA!W197,'[1]DATA Engine'!$A$3:$H$800,8,FALSE))),"GOW",""),"")</f>
        <v/>
      </c>
      <c r="I206" s="26"/>
      <c r="J206" s="24"/>
      <c r="K206" s="24"/>
      <c r="L206" s="24"/>
      <c r="M206" s="24"/>
      <c r="N206" s="24"/>
      <c r="O206" s="24"/>
      <c r="P206" s="25"/>
      <c r="Q206" s="1"/>
    </row>
    <row r="207" spans="2:17" ht="15">
      <c r="B207" s="18" t="str">
        <f>IF(C207="","",VLOOKUP([1]DATA!W198,'[1]DATA Engine'!$A$3:$H$800,2,FALSE))</f>
        <v/>
      </c>
      <c r="C207" s="19" t="str">
        <f>IFERROR(VLOOKUP([1]DATA!W198,'[1]DATA Engine'!$A$3:$H$800,3,FALSE),"")</f>
        <v/>
      </c>
      <c r="D207" s="20" t="str">
        <f>IFERROR(VLOOKUP([1]DATA!W198,'[1]DATA Engine'!$A$3:$H$800,4,FALSE),"")</f>
        <v/>
      </c>
      <c r="E207" s="20" t="str">
        <f>IFERROR(VLOOKUP([1]DATA!W198,'[1]DATA Engine'!$A$3:$H$800,5,FALSE),"")</f>
        <v/>
      </c>
      <c r="F207" s="18" t="str">
        <f>IFERROR(VLOOKUP([1]DATA!W198,'[1]DATA Engine'!$A$3:$H$800,6,FALSE),"")</f>
        <v/>
      </c>
      <c r="G207" s="18" t="str">
        <f>IFERROR(VLOOKUP([1]DATA!W198,'[1]DATA Engine'!$A$3:$H$800,7,FALSE),"")</f>
        <v/>
      </c>
      <c r="H207" s="18" t="str">
        <f>IFERROR(IF(ISNUMBER(SEARCH("GOW",VLOOKUP([1]DATA!W198,'[1]DATA Engine'!$A$3:$H$800,8,FALSE))),"GOW",""),"")</f>
        <v/>
      </c>
      <c r="I207" s="26"/>
      <c r="J207" s="24"/>
      <c r="K207" s="24"/>
      <c r="L207" s="24"/>
      <c r="M207" s="24"/>
      <c r="N207" s="24"/>
      <c r="O207" s="24"/>
      <c r="P207" s="25"/>
      <c r="Q207" s="1"/>
    </row>
    <row r="208" spans="2:17" ht="15">
      <c r="B208" s="18" t="str">
        <f>IF(C208="","",VLOOKUP([1]DATA!W199,'[1]DATA Engine'!$A$3:$H$800,2,FALSE))</f>
        <v/>
      </c>
      <c r="C208" s="19" t="str">
        <f>IFERROR(VLOOKUP([1]DATA!W199,'[1]DATA Engine'!$A$3:$H$800,3,FALSE),"")</f>
        <v/>
      </c>
      <c r="D208" s="20" t="str">
        <f>IFERROR(VLOOKUP([1]DATA!W199,'[1]DATA Engine'!$A$3:$H$800,4,FALSE),"")</f>
        <v/>
      </c>
      <c r="E208" s="20" t="str">
        <f>IFERROR(VLOOKUP([1]DATA!W199,'[1]DATA Engine'!$A$3:$H$800,5,FALSE),"")</f>
        <v/>
      </c>
      <c r="F208" s="18" t="str">
        <f>IFERROR(VLOOKUP([1]DATA!W199,'[1]DATA Engine'!$A$3:$H$800,6,FALSE),"")</f>
        <v/>
      </c>
      <c r="G208" s="18" t="str">
        <f>IFERROR(VLOOKUP([1]DATA!W199,'[1]DATA Engine'!$A$3:$H$800,7,FALSE),"")</f>
        <v/>
      </c>
      <c r="H208" s="18" t="str">
        <f>IFERROR(IF(ISNUMBER(SEARCH("GOW",VLOOKUP([1]DATA!W199,'[1]DATA Engine'!$A$3:$H$800,8,FALSE))),"GOW",""),"")</f>
        <v/>
      </c>
      <c r="I208" s="26"/>
      <c r="J208" s="24"/>
      <c r="K208" s="24"/>
      <c r="L208" s="24"/>
      <c r="M208" s="24"/>
      <c r="N208" s="24"/>
      <c r="O208" s="24"/>
      <c r="P208" s="25"/>
      <c r="Q208" s="1"/>
    </row>
    <row r="209" spans="2:17" ht="15">
      <c r="B209" s="18" t="str">
        <f>IF(C209="","",VLOOKUP([1]DATA!W200,'[1]DATA Engine'!$A$3:$H$800,2,FALSE))</f>
        <v/>
      </c>
      <c r="C209" s="19" t="str">
        <f>IFERROR(VLOOKUP([1]DATA!W200,'[1]DATA Engine'!$A$3:$H$800,3,FALSE),"")</f>
        <v/>
      </c>
      <c r="D209" s="20" t="str">
        <f>IFERROR(VLOOKUP([1]DATA!W200,'[1]DATA Engine'!$A$3:$H$800,4,FALSE),"")</f>
        <v/>
      </c>
      <c r="E209" s="20" t="str">
        <f>IFERROR(VLOOKUP([1]DATA!W200,'[1]DATA Engine'!$A$3:$H$800,5,FALSE),"")</f>
        <v/>
      </c>
      <c r="F209" s="18" t="str">
        <f>IFERROR(VLOOKUP([1]DATA!W200,'[1]DATA Engine'!$A$3:$H$800,6,FALSE),"")</f>
        <v/>
      </c>
      <c r="G209" s="18" t="str">
        <f>IFERROR(VLOOKUP([1]DATA!W200,'[1]DATA Engine'!$A$3:$H$800,7,FALSE),"")</f>
        <v/>
      </c>
      <c r="H209" s="18" t="str">
        <f>IFERROR(IF(ISNUMBER(SEARCH("GOW",VLOOKUP([1]DATA!W200,'[1]DATA Engine'!$A$3:$H$800,8,FALSE))),"GOW",""),"")</f>
        <v/>
      </c>
      <c r="I209" s="26"/>
      <c r="J209" s="24"/>
      <c r="K209" s="24"/>
      <c r="L209" s="24"/>
      <c r="M209" s="24"/>
      <c r="N209" s="24"/>
      <c r="O209" s="24"/>
      <c r="P209" s="25"/>
      <c r="Q209" s="1"/>
    </row>
    <row r="210" spans="2:17" ht="15">
      <c r="B210" s="18" t="str">
        <f>IF(C210="","",VLOOKUP([1]DATA!W201,'[1]DATA Engine'!$A$3:$H$800,2,FALSE))</f>
        <v/>
      </c>
      <c r="C210" s="19" t="str">
        <f>IFERROR(VLOOKUP([1]DATA!W201,'[1]DATA Engine'!$A$3:$H$800,3,FALSE),"")</f>
        <v/>
      </c>
      <c r="D210" s="20" t="str">
        <f>IFERROR(VLOOKUP([1]DATA!W201,'[1]DATA Engine'!$A$3:$H$800,4,FALSE),"")</f>
        <v/>
      </c>
      <c r="E210" s="20" t="str">
        <f>IFERROR(VLOOKUP([1]DATA!W201,'[1]DATA Engine'!$A$3:$H$800,5,FALSE),"")</f>
        <v/>
      </c>
      <c r="F210" s="18" t="str">
        <f>IFERROR(VLOOKUP([1]DATA!W201,'[1]DATA Engine'!$A$3:$H$800,6,FALSE),"")</f>
        <v/>
      </c>
      <c r="G210" s="18" t="str">
        <f>IFERROR(VLOOKUP([1]DATA!W201,'[1]DATA Engine'!$A$3:$H$800,7,FALSE),"")</f>
        <v/>
      </c>
      <c r="H210" s="18" t="str">
        <f>IFERROR(IF(ISNUMBER(SEARCH("GOW",VLOOKUP([1]DATA!W201,'[1]DATA Engine'!$A$3:$H$800,8,FALSE))),"GOW",""),"")</f>
        <v/>
      </c>
      <c r="I210" s="26"/>
      <c r="J210" s="24"/>
      <c r="K210" s="24"/>
      <c r="L210" s="24"/>
      <c r="M210" s="24"/>
      <c r="N210" s="24"/>
      <c r="O210" s="24"/>
      <c r="P210" s="25"/>
      <c r="Q210" s="1"/>
    </row>
    <row r="211" spans="2:17" ht="15">
      <c r="B211" s="18" t="str">
        <f>IF(C211="","",VLOOKUP([1]DATA!W202,'[1]DATA Engine'!$A$3:$H$800,2,FALSE))</f>
        <v/>
      </c>
      <c r="C211" s="19" t="str">
        <f>IFERROR(VLOOKUP([1]DATA!W202,'[1]DATA Engine'!$A$3:$H$800,3,FALSE),"")</f>
        <v/>
      </c>
      <c r="D211" s="20" t="str">
        <f>IFERROR(VLOOKUP([1]DATA!W202,'[1]DATA Engine'!$A$3:$H$800,4,FALSE),"")</f>
        <v/>
      </c>
      <c r="E211" s="20" t="str">
        <f>IFERROR(VLOOKUP([1]DATA!W202,'[1]DATA Engine'!$A$3:$H$800,5,FALSE),"")</f>
        <v/>
      </c>
      <c r="F211" s="18" t="str">
        <f>IFERROR(VLOOKUP([1]DATA!W202,'[1]DATA Engine'!$A$3:$H$800,6,FALSE),"")</f>
        <v/>
      </c>
      <c r="G211" s="18" t="str">
        <f>IFERROR(VLOOKUP([1]DATA!W202,'[1]DATA Engine'!$A$3:$H$800,7,FALSE),"")</f>
        <v/>
      </c>
      <c r="H211" s="18" t="str">
        <f>IFERROR(IF(ISNUMBER(SEARCH("GOW",VLOOKUP([1]DATA!W202,'[1]DATA Engine'!$A$3:$H$800,8,FALSE))),"GOW",""),"")</f>
        <v/>
      </c>
      <c r="I211" s="26"/>
      <c r="J211" s="24"/>
      <c r="K211" s="24"/>
      <c r="L211" s="24"/>
      <c r="M211" s="24"/>
      <c r="N211" s="24"/>
      <c r="O211" s="24"/>
      <c r="P211" s="25"/>
      <c r="Q211" s="1"/>
    </row>
    <row r="212" spans="2:17" ht="15">
      <c r="B212" s="18" t="str">
        <f>IF(C212="","",VLOOKUP([1]DATA!W203,'[1]DATA Engine'!$A$3:$H$800,2,FALSE))</f>
        <v/>
      </c>
      <c r="C212" s="19" t="str">
        <f>IFERROR(VLOOKUP([1]DATA!W203,'[1]DATA Engine'!$A$3:$H$800,3,FALSE),"")</f>
        <v/>
      </c>
      <c r="D212" s="20" t="str">
        <f>IFERROR(VLOOKUP([1]DATA!W203,'[1]DATA Engine'!$A$3:$H$800,4,FALSE),"")</f>
        <v/>
      </c>
      <c r="E212" s="20" t="str">
        <f>IFERROR(VLOOKUP([1]DATA!W203,'[1]DATA Engine'!$A$3:$H$800,5,FALSE),"")</f>
        <v/>
      </c>
      <c r="F212" s="18" t="str">
        <f>IFERROR(VLOOKUP([1]DATA!W203,'[1]DATA Engine'!$A$3:$H$800,6,FALSE),"")</f>
        <v/>
      </c>
      <c r="G212" s="18" t="str">
        <f>IFERROR(VLOOKUP([1]DATA!W203,'[1]DATA Engine'!$A$3:$H$800,7,FALSE),"")</f>
        <v/>
      </c>
      <c r="H212" s="18" t="str">
        <f>IFERROR(IF(ISNUMBER(SEARCH("GOW",VLOOKUP([1]DATA!W203,'[1]DATA Engine'!$A$3:$H$800,8,FALSE))),"GOW",""),"")</f>
        <v/>
      </c>
      <c r="I212" s="26"/>
      <c r="J212" s="24"/>
      <c r="K212" s="24"/>
      <c r="L212" s="24"/>
      <c r="M212" s="24"/>
      <c r="N212" s="24"/>
      <c r="O212" s="24"/>
      <c r="P212" s="25"/>
      <c r="Q212" s="1"/>
    </row>
    <row r="213" spans="2:17" ht="15">
      <c r="B213" s="18" t="str">
        <f>IF(C213="","",VLOOKUP([1]DATA!W204,'[1]DATA Engine'!$A$3:$H$800,2,FALSE))</f>
        <v/>
      </c>
      <c r="C213" s="19" t="str">
        <f>IFERROR(VLOOKUP([1]DATA!W204,'[1]DATA Engine'!$A$3:$H$800,3,FALSE),"")</f>
        <v/>
      </c>
      <c r="D213" s="20" t="str">
        <f>IFERROR(VLOOKUP([1]DATA!W204,'[1]DATA Engine'!$A$3:$H$800,4,FALSE),"")</f>
        <v/>
      </c>
      <c r="E213" s="20" t="str">
        <f>IFERROR(VLOOKUP([1]DATA!W204,'[1]DATA Engine'!$A$3:$H$800,5,FALSE),"")</f>
        <v/>
      </c>
      <c r="F213" s="18" t="str">
        <f>IFERROR(VLOOKUP([1]DATA!W204,'[1]DATA Engine'!$A$3:$H$800,6,FALSE),"")</f>
        <v/>
      </c>
      <c r="G213" s="18" t="str">
        <f>IFERROR(VLOOKUP([1]DATA!W204,'[1]DATA Engine'!$A$3:$H$800,7,FALSE),"")</f>
        <v/>
      </c>
      <c r="H213" s="18" t="str">
        <f>IFERROR(IF(ISNUMBER(SEARCH("GOW",VLOOKUP([1]DATA!W204,'[1]DATA Engine'!$A$3:$H$800,8,FALSE))),"GOW",""),"")</f>
        <v/>
      </c>
      <c r="I213" s="26"/>
      <c r="J213" s="24"/>
      <c r="K213" s="24"/>
      <c r="L213" s="24"/>
      <c r="M213" s="24"/>
      <c r="N213" s="24"/>
      <c r="O213" s="24"/>
      <c r="P213" s="25"/>
      <c r="Q213" s="1"/>
    </row>
    <row r="214" spans="2:17" ht="15">
      <c r="B214" s="18" t="str">
        <f>IF(C214="","",VLOOKUP([1]DATA!W205,'[1]DATA Engine'!$A$3:$H$800,2,FALSE))</f>
        <v/>
      </c>
      <c r="C214" s="19" t="str">
        <f>IFERROR(VLOOKUP([1]DATA!W205,'[1]DATA Engine'!$A$3:$H$800,3,FALSE),"")</f>
        <v/>
      </c>
      <c r="D214" s="20" t="str">
        <f>IFERROR(VLOOKUP([1]DATA!W205,'[1]DATA Engine'!$A$3:$H$800,4,FALSE),"")</f>
        <v/>
      </c>
      <c r="E214" s="20" t="str">
        <f>IFERROR(VLOOKUP([1]DATA!W205,'[1]DATA Engine'!$A$3:$H$800,5,FALSE),"")</f>
        <v/>
      </c>
      <c r="F214" s="18" t="str">
        <f>IFERROR(VLOOKUP([1]DATA!W205,'[1]DATA Engine'!$A$3:$H$800,6,FALSE),"")</f>
        <v/>
      </c>
      <c r="G214" s="18" t="str">
        <f>IFERROR(VLOOKUP([1]DATA!W205,'[1]DATA Engine'!$A$3:$H$800,7,FALSE),"")</f>
        <v/>
      </c>
      <c r="H214" s="18" t="str">
        <f>IFERROR(IF(ISNUMBER(SEARCH("GOW",VLOOKUP([1]DATA!W205,'[1]DATA Engine'!$A$3:$H$800,8,FALSE))),"GOW",""),"")</f>
        <v/>
      </c>
      <c r="I214" s="26"/>
      <c r="J214" s="24"/>
      <c r="K214" s="24"/>
      <c r="L214" s="24"/>
      <c r="M214" s="24"/>
      <c r="N214" s="24"/>
      <c r="O214" s="24"/>
      <c r="P214" s="25"/>
      <c r="Q214" s="1"/>
    </row>
    <row r="215" spans="2:17" ht="15">
      <c r="B215" s="18" t="str">
        <f>IF(C215="","",VLOOKUP([1]DATA!W206,'[1]DATA Engine'!$A$3:$H$800,2,FALSE))</f>
        <v/>
      </c>
      <c r="C215" s="19" t="str">
        <f>IFERROR(VLOOKUP([1]DATA!W206,'[1]DATA Engine'!$A$3:$H$800,3,FALSE),"")</f>
        <v/>
      </c>
      <c r="D215" s="20" t="str">
        <f>IFERROR(VLOOKUP([1]DATA!W206,'[1]DATA Engine'!$A$3:$H$800,4,FALSE),"")</f>
        <v/>
      </c>
      <c r="E215" s="20" t="str">
        <f>IFERROR(VLOOKUP([1]DATA!W206,'[1]DATA Engine'!$A$3:$H$800,5,FALSE),"")</f>
        <v/>
      </c>
      <c r="F215" s="18" t="str">
        <f>IFERROR(VLOOKUP([1]DATA!W206,'[1]DATA Engine'!$A$3:$H$800,6,FALSE),"")</f>
        <v/>
      </c>
      <c r="G215" s="18" t="str">
        <f>IFERROR(VLOOKUP([1]DATA!W206,'[1]DATA Engine'!$A$3:$H$800,7,FALSE),"")</f>
        <v/>
      </c>
      <c r="H215" s="18" t="str">
        <f>IFERROR(IF(ISNUMBER(SEARCH("GOW",VLOOKUP([1]DATA!W206,'[1]DATA Engine'!$A$3:$H$800,8,FALSE))),"GOW",""),"")</f>
        <v/>
      </c>
      <c r="I215" s="26"/>
      <c r="J215" s="24"/>
      <c r="K215" s="24"/>
      <c r="L215" s="24"/>
      <c r="M215" s="24"/>
      <c r="N215" s="24"/>
      <c r="O215" s="24"/>
      <c r="P215" s="25"/>
      <c r="Q215" s="1"/>
    </row>
    <row r="216" spans="2:17" ht="15">
      <c r="B216" s="18" t="str">
        <f>IF(C216="","",VLOOKUP([1]DATA!W207,'[1]DATA Engine'!$A$3:$H$800,2,FALSE))</f>
        <v/>
      </c>
      <c r="C216" s="19" t="str">
        <f>IFERROR(VLOOKUP([1]DATA!W207,'[1]DATA Engine'!$A$3:$H$800,3,FALSE),"")</f>
        <v/>
      </c>
      <c r="D216" s="20" t="str">
        <f>IFERROR(VLOOKUP([1]DATA!W207,'[1]DATA Engine'!$A$3:$H$800,4,FALSE),"")</f>
        <v/>
      </c>
      <c r="E216" s="20" t="str">
        <f>IFERROR(VLOOKUP([1]DATA!W207,'[1]DATA Engine'!$A$3:$H$800,5,FALSE),"")</f>
        <v/>
      </c>
      <c r="F216" s="18" t="str">
        <f>IFERROR(VLOOKUP([1]DATA!W207,'[1]DATA Engine'!$A$3:$H$800,6,FALSE),"")</f>
        <v/>
      </c>
      <c r="G216" s="18" t="str">
        <f>IFERROR(VLOOKUP([1]DATA!W207,'[1]DATA Engine'!$A$3:$H$800,7,FALSE),"")</f>
        <v/>
      </c>
      <c r="H216" s="18" t="str">
        <f>IFERROR(IF(ISNUMBER(SEARCH("GOW",VLOOKUP([1]DATA!W207,'[1]DATA Engine'!$A$3:$H$800,8,FALSE))),"GOW",""),"")</f>
        <v/>
      </c>
      <c r="I216" s="26"/>
      <c r="J216" s="24"/>
      <c r="K216" s="24"/>
      <c r="L216" s="24"/>
      <c r="M216" s="24"/>
      <c r="N216" s="24"/>
      <c r="O216" s="24"/>
      <c r="P216" s="25"/>
      <c r="Q216" s="1"/>
    </row>
    <row r="217" spans="2:17" ht="15">
      <c r="B217" s="18" t="str">
        <f>IF(C217="","",VLOOKUP([1]DATA!W208,'[1]DATA Engine'!$A$3:$H$800,2,FALSE))</f>
        <v/>
      </c>
      <c r="C217" s="19" t="str">
        <f>IFERROR(VLOOKUP([1]DATA!W208,'[1]DATA Engine'!$A$3:$H$800,3,FALSE),"")</f>
        <v/>
      </c>
      <c r="D217" s="20" t="str">
        <f>IFERROR(VLOOKUP([1]DATA!W208,'[1]DATA Engine'!$A$3:$H$800,4,FALSE),"")</f>
        <v/>
      </c>
      <c r="E217" s="20" t="str">
        <f>IFERROR(VLOOKUP([1]DATA!W208,'[1]DATA Engine'!$A$3:$H$800,5,FALSE),"")</f>
        <v/>
      </c>
      <c r="F217" s="18" t="str">
        <f>IFERROR(VLOOKUP([1]DATA!W208,'[1]DATA Engine'!$A$3:$H$800,6,FALSE),"")</f>
        <v/>
      </c>
      <c r="G217" s="18" t="str">
        <f>IFERROR(VLOOKUP([1]DATA!W208,'[1]DATA Engine'!$A$3:$H$800,7,FALSE),"")</f>
        <v/>
      </c>
      <c r="H217" s="18" t="str">
        <f>IFERROR(IF(ISNUMBER(SEARCH("GOW",VLOOKUP([1]DATA!W208,'[1]DATA Engine'!$A$3:$H$800,8,FALSE))),"GOW",""),"")</f>
        <v/>
      </c>
      <c r="I217" s="26"/>
      <c r="J217" s="24"/>
      <c r="K217" s="24"/>
      <c r="L217" s="24"/>
      <c r="M217" s="24"/>
      <c r="N217" s="24"/>
      <c r="O217" s="24"/>
      <c r="P217" s="25"/>
      <c r="Q217" s="1"/>
    </row>
    <row r="218" spans="2:17" ht="15">
      <c r="B218" s="18" t="str">
        <f>IF(C218="","",VLOOKUP([1]DATA!W209,'[1]DATA Engine'!$A$3:$H$800,2,FALSE))</f>
        <v/>
      </c>
      <c r="C218" s="19" t="str">
        <f>IFERROR(VLOOKUP([1]DATA!W209,'[1]DATA Engine'!$A$3:$H$800,3,FALSE),"")</f>
        <v/>
      </c>
      <c r="D218" s="20" t="str">
        <f>IFERROR(VLOOKUP([1]DATA!W209,'[1]DATA Engine'!$A$3:$H$800,4,FALSE),"")</f>
        <v/>
      </c>
      <c r="E218" s="20" t="str">
        <f>IFERROR(VLOOKUP([1]DATA!W209,'[1]DATA Engine'!$A$3:$H$800,5,FALSE),"")</f>
        <v/>
      </c>
      <c r="F218" s="18" t="str">
        <f>IFERROR(VLOOKUP([1]DATA!W209,'[1]DATA Engine'!$A$3:$H$800,6,FALSE),"")</f>
        <v/>
      </c>
      <c r="G218" s="18" t="str">
        <f>IFERROR(VLOOKUP([1]DATA!W209,'[1]DATA Engine'!$A$3:$H$800,7,FALSE),"")</f>
        <v/>
      </c>
      <c r="H218" s="18" t="str">
        <f>IFERROR(IF(ISNUMBER(SEARCH("GOW",VLOOKUP([1]DATA!W209,'[1]DATA Engine'!$A$3:$H$800,8,FALSE))),"GOW",""),"")</f>
        <v/>
      </c>
      <c r="I218" s="26"/>
      <c r="J218" s="24"/>
      <c r="K218" s="24"/>
      <c r="L218" s="24"/>
      <c r="M218" s="24"/>
      <c r="N218" s="24"/>
      <c r="O218" s="24"/>
      <c r="P218" s="25"/>
      <c r="Q218" s="1"/>
    </row>
    <row r="219" spans="2:17" ht="15">
      <c r="B219" s="18" t="str">
        <f>IF(C219="","",VLOOKUP([1]DATA!W210,'[1]DATA Engine'!$A$3:$H$800,2,FALSE))</f>
        <v/>
      </c>
      <c r="C219" s="19" t="str">
        <f>IFERROR(VLOOKUP([1]DATA!W210,'[1]DATA Engine'!$A$3:$H$800,3,FALSE),"")</f>
        <v/>
      </c>
      <c r="D219" s="20" t="str">
        <f>IFERROR(VLOOKUP([1]DATA!W210,'[1]DATA Engine'!$A$3:$H$800,4,FALSE),"")</f>
        <v/>
      </c>
      <c r="E219" s="20" t="str">
        <f>IFERROR(VLOOKUP([1]DATA!W210,'[1]DATA Engine'!$A$3:$H$800,5,FALSE),"")</f>
        <v/>
      </c>
      <c r="F219" s="18" t="str">
        <f>IFERROR(VLOOKUP([1]DATA!W210,'[1]DATA Engine'!$A$3:$H$800,6,FALSE),"")</f>
        <v/>
      </c>
      <c r="G219" s="18" t="str">
        <f>IFERROR(VLOOKUP([1]DATA!W210,'[1]DATA Engine'!$A$3:$H$800,7,FALSE),"")</f>
        <v/>
      </c>
      <c r="H219" s="18" t="str">
        <f>IFERROR(IF(ISNUMBER(SEARCH("GOW",VLOOKUP([1]DATA!W210,'[1]DATA Engine'!$A$3:$H$800,8,FALSE))),"GOW",""),"")</f>
        <v/>
      </c>
      <c r="I219" s="26"/>
      <c r="J219" s="24"/>
      <c r="K219" s="24"/>
      <c r="L219" s="24"/>
      <c r="M219" s="24"/>
      <c r="N219" s="24"/>
      <c r="O219" s="24"/>
      <c r="P219" s="25"/>
      <c r="Q219" s="1"/>
    </row>
    <row r="220" spans="2:17" ht="15">
      <c r="B220" s="18" t="str">
        <f>IF(C220="","",VLOOKUP([1]DATA!W211,'[1]DATA Engine'!$A$3:$H$800,2,FALSE))</f>
        <v/>
      </c>
      <c r="C220" s="19" t="str">
        <f>IFERROR(VLOOKUP([1]DATA!W211,'[1]DATA Engine'!$A$3:$H$800,3,FALSE),"")</f>
        <v/>
      </c>
      <c r="D220" s="20" t="str">
        <f>IFERROR(VLOOKUP([1]DATA!W211,'[1]DATA Engine'!$A$3:$H$800,4,FALSE),"")</f>
        <v/>
      </c>
      <c r="E220" s="20" t="str">
        <f>IFERROR(VLOOKUP([1]DATA!W211,'[1]DATA Engine'!$A$3:$H$800,5,FALSE),"")</f>
        <v/>
      </c>
      <c r="F220" s="18" t="str">
        <f>IFERROR(VLOOKUP([1]DATA!W211,'[1]DATA Engine'!$A$3:$H$800,6,FALSE),"")</f>
        <v/>
      </c>
      <c r="G220" s="18" t="str">
        <f>IFERROR(VLOOKUP([1]DATA!W211,'[1]DATA Engine'!$A$3:$H$800,7,FALSE),"")</f>
        <v/>
      </c>
      <c r="H220" s="18" t="str">
        <f>IFERROR(IF(ISNUMBER(SEARCH("GOW",VLOOKUP([1]DATA!W211,'[1]DATA Engine'!$A$3:$H$800,8,FALSE))),"GOW",""),"")</f>
        <v/>
      </c>
      <c r="I220" s="26"/>
      <c r="J220" s="24"/>
      <c r="K220" s="24"/>
      <c r="L220" s="24"/>
      <c r="M220" s="24"/>
      <c r="N220" s="24"/>
      <c r="O220" s="24"/>
      <c r="P220" s="25"/>
      <c r="Q220" s="1"/>
    </row>
    <row r="221" spans="2:17" ht="15">
      <c r="B221" s="18" t="str">
        <f>IF(C221="","",VLOOKUP([1]DATA!W212,'[1]DATA Engine'!$A$3:$H$800,2,FALSE))</f>
        <v/>
      </c>
      <c r="C221" s="19" t="str">
        <f>IFERROR(VLOOKUP([1]DATA!W212,'[1]DATA Engine'!$A$3:$H$800,3,FALSE),"")</f>
        <v/>
      </c>
      <c r="D221" s="20" t="str">
        <f>IFERROR(VLOOKUP([1]DATA!W212,'[1]DATA Engine'!$A$3:$H$800,4,FALSE),"")</f>
        <v/>
      </c>
      <c r="E221" s="20" t="str">
        <f>IFERROR(VLOOKUP([1]DATA!W212,'[1]DATA Engine'!$A$3:$H$800,5,FALSE),"")</f>
        <v/>
      </c>
      <c r="F221" s="18" t="str">
        <f>IFERROR(VLOOKUP([1]DATA!W212,'[1]DATA Engine'!$A$3:$H$800,6,FALSE),"")</f>
        <v/>
      </c>
      <c r="G221" s="18" t="str">
        <f>IFERROR(VLOOKUP([1]DATA!W212,'[1]DATA Engine'!$A$3:$H$800,7,FALSE),"")</f>
        <v/>
      </c>
      <c r="H221" s="18" t="str">
        <f>IFERROR(IF(ISNUMBER(SEARCH("GOW",VLOOKUP([1]DATA!W212,'[1]DATA Engine'!$A$3:$H$800,8,FALSE))),"GOW",""),"")</f>
        <v/>
      </c>
      <c r="I221" s="26"/>
      <c r="J221" s="24"/>
      <c r="K221" s="24"/>
      <c r="L221" s="24"/>
      <c r="M221" s="24"/>
      <c r="N221" s="24"/>
      <c r="O221" s="24"/>
      <c r="P221" s="25"/>
      <c r="Q221" s="1"/>
    </row>
    <row r="222" spans="2:17" ht="15">
      <c r="B222" s="18" t="str">
        <f>IF(C222="","",VLOOKUP([1]DATA!W213,'[1]DATA Engine'!$A$3:$H$800,2,FALSE))</f>
        <v/>
      </c>
      <c r="C222" s="19" t="str">
        <f>IFERROR(VLOOKUP([1]DATA!W213,'[1]DATA Engine'!$A$3:$H$800,3,FALSE),"")</f>
        <v/>
      </c>
      <c r="D222" s="20" t="str">
        <f>IFERROR(VLOOKUP([1]DATA!W213,'[1]DATA Engine'!$A$3:$H$800,4,FALSE),"")</f>
        <v/>
      </c>
      <c r="E222" s="20" t="str">
        <f>IFERROR(VLOOKUP([1]DATA!W213,'[1]DATA Engine'!$A$3:$H$800,5,FALSE),"")</f>
        <v/>
      </c>
      <c r="F222" s="18" t="str">
        <f>IFERROR(VLOOKUP([1]DATA!W213,'[1]DATA Engine'!$A$3:$H$800,6,FALSE),"")</f>
        <v/>
      </c>
      <c r="G222" s="18" t="str">
        <f>IFERROR(VLOOKUP([1]DATA!W213,'[1]DATA Engine'!$A$3:$H$800,7,FALSE),"")</f>
        <v/>
      </c>
      <c r="H222" s="18" t="str">
        <f>IFERROR(IF(ISNUMBER(SEARCH("GOW",VLOOKUP([1]DATA!W213,'[1]DATA Engine'!$A$3:$H$800,8,FALSE))),"GOW",""),"")</f>
        <v/>
      </c>
      <c r="I222" s="26"/>
      <c r="J222" s="24"/>
      <c r="K222" s="24"/>
      <c r="L222" s="24"/>
      <c r="M222" s="24"/>
      <c r="N222" s="24"/>
      <c r="O222" s="24"/>
      <c r="P222" s="25"/>
      <c r="Q222" s="1"/>
    </row>
    <row r="223" spans="2:17" ht="15">
      <c r="B223" s="18" t="str">
        <f>IF(C223="","",VLOOKUP([1]DATA!W214,'[1]DATA Engine'!$A$3:$H$800,2,FALSE))</f>
        <v/>
      </c>
      <c r="C223" s="19" t="str">
        <f>IFERROR(VLOOKUP([1]DATA!W214,'[1]DATA Engine'!$A$3:$H$800,3,FALSE),"")</f>
        <v/>
      </c>
      <c r="D223" s="20" t="str">
        <f>IFERROR(VLOOKUP([1]DATA!W214,'[1]DATA Engine'!$A$3:$H$800,4,FALSE),"")</f>
        <v/>
      </c>
      <c r="E223" s="20" t="str">
        <f>IFERROR(VLOOKUP([1]DATA!W214,'[1]DATA Engine'!$A$3:$H$800,5,FALSE),"")</f>
        <v/>
      </c>
      <c r="F223" s="18" t="str">
        <f>IFERROR(VLOOKUP([1]DATA!W214,'[1]DATA Engine'!$A$3:$H$800,6,FALSE),"")</f>
        <v/>
      </c>
      <c r="G223" s="18" t="str">
        <f>IFERROR(VLOOKUP([1]DATA!W214,'[1]DATA Engine'!$A$3:$H$800,7,FALSE),"")</f>
        <v/>
      </c>
      <c r="H223" s="18" t="str">
        <f>IFERROR(IF(ISNUMBER(SEARCH("GOW",VLOOKUP([1]DATA!W214,'[1]DATA Engine'!$A$3:$H$800,8,FALSE))),"GOW",""),"")</f>
        <v/>
      </c>
      <c r="I223" s="26"/>
      <c r="J223" s="24"/>
      <c r="K223" s="24"/>
      <c r="L223" s="24"/>
      <c r="M223" s="24"/>
      <c r="N223" s="24"/>
      <c r="O223" s="24"/>
      <c r="P223" s="25"/>
      <c r="Q223" s="1"/>
    </row>
    <row r="224" spans="2:17" ht="15">
      <c r="B224" s="18" t="str">
        <f>IF(C224="","",VLOOKUP([1]DATA!W215,'[1]DATA Engine'!$A$3:$H$800,2,FALSE))</f>
        <v/>
      </c>
      <c r="C224" s="19" t="str">
        <f>IFERROR(VLOOKUP([1]DATA!W215,'[1]DATA Engine'!$A$3:$H$800,3,FALSE),"")</f>
        <v/>
      </c>
      <c r="D224" s="20" t="str">
        <f>IFERROR(VLOOKUP([1]DATA!W215,'[1]DATA Engine'!$A$3:$H$800,4,FALSE),"")</f>
        <v/>
      </c>
      <c r="E224" s="20" t="str">
        <f>IFERROR(VLOOKUP([1]DATA!W215,'[1]DATA Engine'!$A$3:$H$800,5,FALSE),"")</f>
        <v/>
      </c>
      <c r="F224" s="18" t="str">
        <f>IFERROR(VLOOKUP([1]DATA!W215,'[1]DATA Engine'!$A$3:$H$800,6,FALSE),"")</f>
        <v/>
      </c>
      <c r="G224" s="18" t="str">
        <f>IFERROR(VLOOKUP([1]DATA!W215,'[1]DATA Engine'!$A$3:$H$800,7,FALSE),"")</f>
        <v/>
      </c>
      <c r="H224" s="18" t="str">
        <f>IFERROR(IF(ISNUMBER(SEARCH("GOW",VLOOKUP([1]DATA!W215,'[1]DATA Engine'!$A$3:$H$800,8,FALSE))),"GOW",""),"")</f>
        <v/>
      </c>
      <c r="I224" s="26"/>
      <c r="J224" s="24"/>
      <c r="K224" s="24"/>
      <c r="L224" s="24"/>
      <c r="M224" s="24"/>
      <c r="N224" s="24"/>
      <c r="O224" s="24"/>
      <c r="P224" s="25"/>
      <c r="Q224" s="1"/>
    </row>
    <row r="225" spans="2:17" ht="15">
      <c r="B225" s="18" t="str">
        <f>IF(C225="","",VLOOKUP([1]DATA!W216,'[1]DATA Engine'!$A$3:$H$800,2,FALSE))</f>
        <v/>
      </c>
      <c r="C225" s="19" t="str">
        <f>IFERROR(VLOOKUP([1]DATA!W216,'[1]DATA Engine'!$A$3:$H$800,3,FALSE),"")</f>
        <v/>
      </c>
      <c r="D225" s="20" t="str">
        <f>IFERROR(VLOOKUP([1]DATA!W216,'[1]DATA Engine'!$A$3:$H$800,4,FALSE),"")</f>
        <v/>
      </c>
      <c r="E225" s="20" t="str">
        <f>IFERROR(VLOOKUP([1]DATA!W216,'[1]DATA Engine'!$A$3:$H$800,5,FALSE),"")</f>
        <v/>
      </c>
      <c r="F225" s="18" t="str">
        <f>IFERROR(VLOOKUP([1]DATA!W216,'[1]DATA Engine'!$A$3:$H$800,6,FALSE),"")</f>
        <v/>
      </c>
      <c r="G225" s="18" t="str">
        <f>IFERROR(VLOOKUP([1]DATA!W216,'[1]DATA Engine'!$A$3:$H$800,7,FALSE),"")</f>
        <v/>
      </c>
      <c r="H225" s="18" t="str">
        <f>IFERROR(IF(ISNUMBER(SEARCH("GOW",VLOOKUP([1]DATA!W216,'[1]DATA Engine'!$A$3:$H$800,8,FALSE))),"GOW",""),"")</f>
        <v/>
      </c>
      <c r="I225" s="26"/>
      <c r="J225" s="24"/>
      <c r="K225" s="24"/>
      <c r="L225" s="24"/>
      <c r="M225" s="24"/>
      <c r="N225" s="24"/>
      <c r="O225" s="24"/>
      <c r="P225" s="25"/>
      <c r="Q225" s="1"/>
    </row>
    <row r="226" spans="2:17" ht="15">
      <c r="B226" s="18" t="str">
        <f>IF(C226="","",VLOOKUP([1]DATA!W217,'[1]DATA Engine'!$A$3:$H$800,2,FALSE))</f>
        <v/>
      </c>
      <c r="C226" s="19" t="str">
        <f>IFERROR(VLOOKUP([1]DATA!W217,'[1]DATA Engine'!$A$3:$H$800,3,FALSE),"")</f>
        <v/>
      </c>
      <c r="D226" s="20" t="str">
        <f>IFERROR(VLOOKUP([1]DATA!W217,'[1]DATA Engine'!$A$3:$H$800,4,FALSE),"")</f>
        <v/>
      </c>
      <c r="E226" s="20" t="str">
        <f>IFERROR(VLOOKUP([1]DATA!W217,'[1]DATA Engine'!$A$3:$H$800,5,FALSE),"")</f>
        <v/>
      </c>
      <c r="F226" s="18" t="str">
        <f>IFERROR(VLOOKUP([1]DATA!W217,'[1]DATA Engine'!$A$3:$H$800,6,FALSE),"")</f>
        <v/>
      </c>
      <c r="G226" s="18" t="str">
        <f>IFERROR(VLOOKUP([1]DATA!W217,'[1]DATA Engine'!$A$3:$H$800,7,FALSE),"")</f>
        <v/>
      </c>
      <c r="H226" s="18" t="str">
        <f>IFERROR(IF(ISNUMBER(SEARCH("GOW",VLOOKUP([1]DATA!W217,'[1]DATA Engine'!$A$3:$H$800,8,FALSE))),"GOW",""),"")</f>
        <v/>
      </c>
      <c r="I226" s="26"/>
      <c r="J226" s="24"/>
      <c r="K226" s="24"/>
      <c r="L226" s="24"/>
      <c r="M226" s="24"/>
      <c r="N226" s="24"/>
      <c r="O226" s="24"/>
      <c r="P226" s="25"/>
      <c r="Q226" s="1"/>
    </row>
    <row r="227" spans="2:17" ht="15">
      <c r="B227" s="18" t="str">
        <f>IF(C227="","",VLOOKUP([1]DATA!W218,'[1]DATA Engine'!$A$3:$H$800,2,FALSE))</f>
        <v/>
      </c>
      <c r="C227" s="19" t="str">
        <f>IFERROR(VLOOKUP([1]DATA!W218,'[1]DATA Engine'!$A$3:$H$800,3,FALSE),"")</f>
        <v/>
      </c>
      <c r="D227" s="20" t="str">
        <f>IFERROR(VLOOKUP([1]DATA!W218,'[1]DATA Engine'!$A$3:$H$800,4,FALSE),"")</f>
        <v/>
      </c>
      <c r="E227" s="20" t="str">
        <f>IFERROR(VLOOKUP([1]DATA!W218,'[1]DATA Engine'!$A$3:$H$800,5,FALSE),"")</f>
        <v/>
      </c>
      <c r="F227" s="18" t="str">
        <f>IFERROR(VLOOKUP([1]DATA!W218,'[1]DATA Engine'!$A$3:$H$800,6,FALSE),"")</f>
        <v/>
      </c>
      <c r="G227" s="18" t="str">
        <f>IFERROR(VLOOKUP([1]DATA!W218,'[1]DATA Engine'!$A$3:$H$800,7,FALSE),"")</f>
        <v/>
      </c>
      <c r="H227" s="18" t="str">
        <f>IFERROR(IF(ISNUMBER(SEARCH("GOW",VLOOKUP([1]DATA!W218,'[1]DATA Engine'!$A$3:$H$800,8,FALSE))),"GOW",""),"")</f>
        <v/>
      </c>
      <c r="I227" s="26"/>
      <c r="J227" s="24"/>
      <c r="K227" s="24"/>
      <c r="L227" s="24"/>
      <c r="M227" s="24"/>
      <c r="N227" s="24"/>
      <c r="O227" s="24"/>
      <c r="P227" s="25"/>
      <c r="Q227" s="1"/>
    </row>
    <row r="228" spans="2:17" ht="15">
      <c r="B228" s="18" t="str">
        <f>IF(C228="","",VLOOKUP([1]DATA!W219,'[1]DATA Engine'!$A$3:$H$800,2,FALSE))</f>
        <v/>
      </c>
      <c r="C228" s="19" t="str">
        <f>IFERROR(VLOOKUP([1]DATA!W219,'[1]DATA Engine'!$A$3:$H$800,3,FALSE),"")</f>
        <v/>
      </c>
      <c r="D228" s="20" t="str">
        <f>IFERROR(VLOOKUP([1]DATA!W219,'[1]DATA Engine'!$A$3:$H$800,4,FALSE),"")</f>
        <v/>
      </c>
      <c r="E228" s="20" t="str">
        <f>IFERROR(VLOOKUP([1]DATA!W219,'[1]DATA Engine'!$A$3:$H$800,5,FALSE),"")</f>
        <v/>
      </c>
      <c r="F228" s="18" t="str">
        <f>IFERROR(VLOOKUP([1]DATA!W219,'[1]DATA Engine'!$A$3:$H$800,6,FALSE),"")</f>
        <v/>
      </c>
      <c r="G228" s="18" t="str">
        <f>IFERROR(VLOOKUP([1]DATA!W219,'[1]DATA Engine'!$A$3:$H$800,7,FALSE),"")</f>
        <v/>
      </c>
      <c r="H228" s="18" t="str">
        <f>IFERROR(IF(ISNUMBER(SEARCH("GOW",VLOOKUP([1]DATA!W219,'[1]DATA Engine'!$A$3:$H$800,8,FALSE))),"GOW",""),"")</f>
        <v/>
      </c>
      <c r="I228" s="26"/>
      <c r="J228" s="24"/>
      <c r="K228" s="24"/>
      <c r="L228" s="24"/>
      <c r="M228" s="24"/>
      <c r="N228" s="24"/>
      <c r="O228" s="24"/>
      <c r="P228" s="25"/>
      <c r="Q228" s="1"/>
    </row>
    <row r="229" spans="2:17" ht="15">
      <c r="B229" s="18" t="str">
        <f>IF(C229="","",VLOOKUP([1]DATA!W220,'[1]DATA Engine'!$A$3:$H$800,2,FALSE))</f>
        <v/>
      </c>
      <c r="C229" s="19" t="str">
        <f>IFERROR(VLOOKUP([1]DATA!W220,'[1]DATA Engine'!$A$3:$H$800,3,FALSE),"")</f>
        <v/>
      </c>
      <c r="D229" s="20" t="str">
        <f>IFERROR(VLOOKUP([1]DATA!W220,'[1]DATA Engine'!$A$3:$H$800,4,FALSE),"")</f>
        <v/>
      </c>
      <c r="E229" s="20" t="str">
        <f>IFERROR(VLOOKUP([1]DATA!W220,'[1]DATA Engine'!$A$3:$H$800,5,FALSE),"")</f>
        <v/>
      </c>
      <c r="F229" s="18" t="str">
        <f>IFERROR(VLOOKUP([1]DATA!W220,'[1]DATA Engine'!$A$3:$H$800,6,FALSE),"")</f>
        <v/>
      </c>
      <c r="G229" s="18" t="str">
        <f>IFERROR(VLOOKUP([1]DATA!W220,'[1]DATA Engine'!$A$3:$H$800,7,FALSE),"")</f>
        <v/>
      </c>
      <c r="H229" s="18" t="str">
        <f>IFERROR(IF(ISNUMBER(SEARCH("GOW",VLOOKUP([1]DATA!W220,'[1]DATA Engine'!$A$3:$H$800,8,FALSE))),"GOW",""),"")</f>
        <v/>
      </c>
      <c r="I229" s="26"/>
      <c r="J229" s="24"/>
      <c r="K229" s="24"/>
      <c r="L229" s="24"/>
      <c r="M229" s="24"/>
      <c r="N229" s="24"/>
      <c r="O229" s="24"/>
      <c r="P229" s="25"/>
      <c r="Q229" s="1"/>
    </row>
    <row r="230" spans="2:17" ht="15">
      <c r="B230" s="18" t="str">
        <f>IF(C230="","",VLOOKUP([1]DATA!W221,'[1]DATA Engine'!$A$3:$H$800,2,FALSE))</f>
        <v/>
      </c>
      <c r="C230" s="19" t="str">
        <f>IFERROR(VLOOKUP([1]DATA!W221,'[1]DATA Engine'!$A$3:$H$800,3,FALSE),"")</f>
        <v/>
      </c>
      <c r="D230" s="20" t="str">
        <f>IFERROR(VLOOKUP([1]DATA!W221,'[1]DATA Engine'!$A$3:$H$800,4,FALSE),"")</f>
        <v/>
      </c>
      <c r="E230" s="20" t="str">
        <f>IFERROR(VLOOKUP([1]DATA!W221,'[1]DATA Engine'!$A$3:$H$800,5,FALSE),"")</f>
        <v/>
      </c>
      <c r="F230" s="18" t="str">
        <f>IFERROR(VLOOKUP([1]DATA!W221,'[1]DATA Engine'!$A$3:$H$800,6,FALSE),"")</f>
        <v/>
      </c>
      <c r="G230" s="18" t="str">
        <f>IFERROR(VLOOKUP([1]DATA!W221,'[1]DATA Engine'!$A$3:$H$800,7,FALSE),"")</f>
        <v/>
      </c>
      <c r="H230" s="18" t="str">
        <f>IFERROR(IF(ISNUMBER(SEARCH("GOW",VLOOKUP([1]DATA!W221,'[1]DATA Engine'!$A$3:$H$800,8,FALSE))),"GOW",""),"")</f>
        <v/>
      </c>
      <c r="I230" s="26"/>
      <c r="J230" s="24"/>
      <c r="K230" s="24"/>
      <c r="L230" s="24"/>
      <c r="M230" s="24"/>
      <c r="N230" s="24"/>
      <c r="O230" s="24"/>
      <c r="P230" s="25"/>
      <c r="Q230" s="1"/>
    </row>
    <row r="231" spans="2:17" ht="15">
      <c r="B231" s="18" t="str">
        <f>IF(C231="","",VLOOKUP([1]DATA!W222,'[1]DATA Engine'!$A$3:$H$800,2,FALSE))</f>
        <v/>
      </c>
      <c r="C231" s="19" t="str">
        <f>IFERROR(VLOOKUP([1]DATA!W222,'[1]DATA Engine'!$A$3:$H$800,3,FALSE),"")</f>
        <v/>
      </c>
      <c r="D231" s="20" t="str">
        <f>IFERROR(VLOOKUP([1]DATA!W222,'[1]DATA Engine'!$A$3:$H$800,4,FALSE),"")</f>
        <v/>
      </c>
      <c r="E231" s="20" t="str">
        <f>IFERROR(VLOOKUP([1]DATA!W222,'[1]DATA Engine'!$A$3:$H$800,5,FALSE),"")</f>
        <v/>
      </c>
      <c r="F231" s="18" t="str">
        <f>IFERROR(VLOOKUP([1]DATA!W222,'[1]DATA Engine'!$A$3:$H$800,6,FALSE),"")</f>
        <v/>
      </c>
      <c r="G231" s="18" t="str">
        <f>IFERROR(VLOOKUP([1]DATA!W222,'[1]DATA Engine'!$A$3:$H$800,7,FALSE),"")</f>
        <v/>
      </c>
      <c r="H231" s="18" t="str">
        <f>IFERROR(IF(ISNUMBER(SEARCH("GOW",VLOOKUP([1]DATA!W222,'[1]DATA Engine'!$A$3:$H$800,8,FALSE))),"GOW",""),"")</f>
        <v/>
      </c>
      <c r="I231" s="26"/>
      <c r="J231" s="24"/>
      <c r="K231" s="24"/>
      <c r="L231" s="24"/>
      <c r="M231" s="24"/>
      <c r="N231" s="24"/>
      <c r="O231" s="24"/>
      <c r="P231" s="25"/>
      <c r="Q231" s="1"/>
    </row>
    <row r="232" spans="2:17" ht="15">
      <c r="B232" s="18" t="str">
        <f>IF(C232="","",VLOOKUP([1]DATA!W223,'[1]DATA Engine'!$A$3:$H$800,2,FALSE))</f>
        <v/>
      </c>
      <c r="C232" s="19" t="str">
        <f>IFERROR(VLOOKUP([1]DATA!W223,'[1]DATA Engine'!$A$3:$H$800,3,FALSE),"")</f>
        <v/>
      </c>
      <c r="D232" s="20" t="str">
        <f>IFERROR(VLOOKUP([1]DATA!W223,'[1]DATA Engine'!$A$3:$H$800,4,FALSE),"")</f>
        <v/>
      </c>
      <c r="E232" s="20" t="str">
        <f>IFERROR(VLOOKUP([1]DATA!W223,'[1]DATA Engine'!$A$3:$H$800,5,FALSE),"")</f>
        <v/>
      </c>
      <c r="F232" s="18" t="str">
        <f>IFERROR(VLOOKUP([1]DATA!W223,'[1]DATA Engine'!$A$3:$H$800,6,FALSE),"")</f>
        <v/>
      </c>
      <c r="G232" s="18" t="str">
        <f>IFERROR(VLOOKUP([1]DATA!W223,'[1]DATA Engine'!$A$3:$H$800,7,FALSE),"")</f>
        <v/>
      </c>
      <c r="H232" s="18" t="str">
        <f>IFERROR(IF(ISNUMBER(SEARCH("GOW",VLOOKUP([1]DATA!W223,'[1]DATA Engine'!$A$3:$H$800,8,FALSE))),"GOW",""),"")</f>
        <v/>
      </c>
      <c r="I232" s="26"/>
      <c r="J232" s="24"/>
      <c r="K232" s="24"/>
      <c r="L232" s="24"/>
      <c r="M232" s="24"/>
      <c r="N232" s="24"/>
      <c r="O232" s="24"/>
      <c r="P232" s="25"/>
      <c r="Q232" s="1"/>
    </row>
    <row r="233" spans="2:17" ht="15">
      <c r="B233" s="18" t="str">
        <f>IF(C233="","",VLOOKUP([1]DATA!W224,'[1]DATA Engine'!$A$3:$H$800,2,FALSE))</f>
        <v/>
      </c>
      <c r="C233" s="19" t="str">
        <f>IFERROR(VLOOKUP([1]DATA!W224,'[1]DATA Engine'!$A$3:$H$800,3,FALSE),"")</f>
        <v/>
      </c>
      <c r="D233" s="20" t="str">
        <f>IFERROR(VLOOKUP([1]DATA!W224,'[1]DATA Engine'!$A$3:$H$800,4,FALSE),"")</f>
        <v/>
      </c>
      <c r="E233" s="20" t="str">
        <f>IFERROR(VLOOKUP([1]DATA!W224,'[1]DATA Engine'!$A$3:$H$800,5,FALSE),"")</f>
        <v/>
      </c>
      <c r="F233" s="18" t="str">
        <f>IFERROR(VLOOKUP([1]DATA!W224,'[1]DATA Engine'!$A$3:$H$800,6,FALSE),"")</f>
        <v/>
      </c>
      <c r="G233" s="18" t="str">
        <f>IFERROR(VLOOKUP([1]DATA!W224,'[1]DATA Engine'!$A$3:$H$800,7,FALSE),"")</f>
        <v/>
      </c>
      <c r="H233" s="18" t="str">
        <f>IFERROR(IF(ISNUMBER(SEARCH("GOW",VLOOKUP([1]DATA!W224,'[1]DATA Engine'!$A$3:$H$800,8,FALSE))),"GOW",""),"")</f>
        <v/>
      </c>
      <c r="I233" s="26"/>
      <c r="J233" s="24"/>
      <c r="K233" s="24"/>
      <c r="L233" s="24"/>
      <c r="M233" s="24"/>
      <c r="N233" s="24"/>
      <c r="O233" s="24"/>
      <c r="P233" s="25"/>
      <c r="Q233" s="1"/>
    </row>
    <row r="234" spans="2:17" ht="15">
      <c r="B234" s="18" t="str">
        <f>IF(C234="","",VLOOKUP([1]DATA!W225,'[1]DATA Engine'!$A$3:$H$800,2,FALSE))</f>
        <v/>
      </c>
      <c r="C234" s="19" t="str">
        <f>IFERROR(VLOOKUP([1]DATA!W225,'[1]DATA Engine'!$A$3:$H$800,3,FALSE),"")</f>
        <v/>
      </c>
      <c r="D234" s="20" t="str">
        <f>IFERROR(VLOOKUP([1]DATA!W225,'[1]DATA Engine'!$A$3:$H$800,4,FALSE),"")</f>
        <v/>
      </c>
      <c r="E234" s="20" t="str">
        <f>IFERROR(VLOOKUP([1]DATA!W225,'[1]DATA Engine'!$A$3:$H$800,5,FALSE),"")</f>
        <v/>
      </c>
      <c r="F234" s="18" t="str">
        <f>IFERROR(VLOOKUP([1]DATA!W225,'[1]DATA Engine'!$A$3:$H$800,6,FALSE),"")</f>
        <v/>
      </c>
      <c r="G234" s="18" t="str">
        <f>IFERROR(VLOOKUP([1]DATA!W225,'[1]DATA Engine'!$A$3:$H$800,7,FALSE),"")</f>
        <v/>
      </c>
      <c r="H234" s="18" t="str">
        <f>IFERROR(IF(ISNUMBER(SEARCH("GOW",VLOOKUP([1]DATA!W225,'[1]DATA Engine'!$A$3:$H$800,8,FALSE))),"GOW",""),"")</f>
        <v/>
      </c>
      <c r="I234" s="26"/>
      <c r="J234" s="24"/>
      <c r="K234" s="24"/>
      <c r="L234" s="24"/>
      <c r="M234" s="24"/>
      <c r="N234" s="24"/>
      <c r="O234" s="24"/>
      <c r="P234" s="25"/>
      <c r="Q234" s="1"/>
    </row>
    <row r="235" spans="2:17" ht="15">
      <c r="B235" s="18" t="str">
        <f>IF(C235="","",VLOOKUP([1]DATA!W226,'[1]DATA Engine'!$A$3:$H$800,2,FALSE))</f>
        <v/>
      </c>
      <c r="C235" s="19" t="str">
        <f>IFERROR(VLOOKUP([1]DATA!W226,'[1]DATA Engine'!$A$3:$H$800,3,FALSE),"")</f>
        <v/>
      </c>
      <c r="D235" s="20" t="str">
        <f>IFERROR(VLOOKUP([1]DATA!W226,'[1]DATA Engine'!$A$3:$H$800,4,FALSE),"")</f>
        <v/>
      </c>
      <c r="E235" s="20" t="str">
        <f>IFERROR(VLOOKUP([1]DATA!W226,'[1]DATA Engine'!$A$3:$H$800,5,FALSE),"")</f>
        <v/>
      </c>
      <c r="F235" s="18" t="str">
        <f>IFERROR(VLOOKUP([1]DATA!W226,'[1]DATA Engine'!$A$3:$H$800,6,FALSE),"")</f>
        <v/>
      </c>
      <c r="G235" s="18" t="str">
        <f>IFERROR(VLOOKUP([1]DATA!W226,'[1]DATA Engine'!$A$3:$H$800,7,FALSE),"")</f>
        <v/>
      </c>
      <c r="H235" s="18" t="str">
        <f>IFERROR(IF(ISNUMBER(SEARCH("GOW",VLOOKUP([1]DATA!W226,'[1]DATA Engine'!$A$3:$H$800,8,FALSE))),"GOW",""),"")</f>
        <v/>
      </c>
      <c r="I235" s="26"/>
      <c r="J235" s="24"/>
      <c r="K235" s="24"/>
      <c r="L235" s="24"/>
      <c r="M235" s="24"/>
      <c r="N235" s="24"/>
      <c r="O235" s="24"/>
      <c r="P235" s="25"/>
      <c r="Q235" s="1"/>
    </row>
    <row r="236" spans="2:17" ht="15">
      <c r="B236" s="18" t="str">
        <f>IF(C236="","",VLOOKUP([1]DATA!W227,'[1]DATA Engine'!$A$3:$H$800,2,FALSE))</f>
        <v/>
      </c>
      <c r="C236" s="19" t="str">
        <f>IFERROR(VLOOKUP([1]DATA!W227,'[1]DATA Engine'!$A$3:$H$800,3,FALSE),"")</f>
        <v/>
      </c>
      <c r="D236" s="20" t="str">
        <f>IFERROR(VLOOKUP([1]DATA!W227,'[1]DATA Engine'!$A$3:$H$800,4,FALSE),"")</f>
        <v/>
      </c>
      <c r="E236" s="20" t="str">
        <f>IFERROR(VLOOKUP([1]DATA!W227,'[1]DATA Engine'!$A$3:$H$800,5,FALSE),"")</f>
        <v/>
      </c>
      <c r="F236" s="18" t="str">
        <f>IFERROR(VLOOKUP([1]DATA!W227,'[1]DATA Engine'!$A$3:$H$800,6,FALSE),"")</f>
        <v/>
      </c>
      <c r="G236" s="18" t="str">
        <f>IFERROR(VLOOKUP([1]DATA!W227,'[1]DATA Engine'!$A$3:$H$800,7,FALSE),"")</f>
        <v/>
      </c>
      <c r="H236" s="18" t="str">
        <f>IFERROR(IF(ISNUMBER(SEARCH("GOW",VLOOKUP([1]DATA!W227,'[1]DATA Engine'!$A$3:$H$800,8,FALSE))),"GOW",""),"")</f>
        <v/>
      </c>
      <c r="I236" s="26"/>
      <c r="J236" s="24"/>
      <c r="K236" s="24"/>
      <c r="L236" s="24"/>
      <c r="M236" s="24"/>
      <c r="N236" s="24"/>
      <c r="O236" s="24"/>
      <c r="P236" s="25"/>
      <c r="Q236" s="1"/>
    </row>
    <row r="237" spans="2:17" ht="15">
      <c r="B237" s="18" t="str">
        <f>IF(C237="","",VLOOKUP([1]DATA!W228,'[1]DATA Engine'!$A$3:$H$800,2,FALSE))</f>
        <v/>
      </c>
      <c r="C237" s="19" t="str">
        <f>IFERROR(VLOOKUP([1]DATA!W228,'[1]DATA Engine'!$A$3:$H$800,3,FALSE),"")</f>
        <v/>
      </c>
      <c r="D237" s="20" t="str">
        <f>IFERROR(VLOOKUP([1]DATA!W228,'[1]DATA Engine'!$A$3:$H$800,4,FALSE),"")</f>
        <v/>
      </c>
      <c r="E237" s="20" t="str">
        <f>IFERROR(VLOOKUP([1]DATA!W228,'[1]DATA Engine'!$A$3:$H$800,5,FALSE),"")</f>
        <v/>
      </c>
      <c r="F237" s="18" t="str">
        <f>IFERROR(VLOOKUP([1]DATA!W228,'[1]DATA Engine'!$A$3:$H$800,6,FALSE),"")</f>
        <v/>
      </c>
      <c r="G237" s="18" t="str">
        <f>IFERROR(VLOOKUP([1]DATA!W228,'[1]DATA Engine'!$A$3:$H$800,7,FALSE),"")</f>
        <v/>
      </c>
      <c r="H237" s="18" t="str">
        <f>IFERROR(IF(ISNUMBER(SEARCH("GOW",VLOOKUP([1]DATA!W228,'[1]DATA Engine'!$A$3:$H$800,8,FALSE))),"GOW",""),"")</f>
        <v/>
      </c>
      <c r="I237" s="26"/>
      <c r="J237" s="24"/>
      <c r="K237" s="24"/>
      <c r="L237" s="24"/>
      <c r="M237" s="24"/>
      <c r="N237" s="24"/>
      <c r="O237" s="24"/>
      <c r="P237" s="25"/>
      <c r="Q237" s="1"/>
    </row>
    <row r="238" spans="2:17" ht="15">
      <c r="B238" s="18" t="str">
        <f>IF(C238="","",VLOOKUP([1]DATA!W229,'[1]DATA Engine'!$A$3:$H$800,2,FALSE))</f>
        <v/>
      </c>
      <c r="C238" s="19" t="str">
        <f>IFERROR(VLOOKUP([1]DATA!W229,'[1]DATA Engine'!$A$3:$H$800,3,FALSE),"")</f>
        <v/>
      </c>
      <c r="D238" s="20" t="str">
        <f>IFERROR(VLOOKUP([1]DATA!W229,'[1]DATA Engine'!$A$3:$H$800,4,FALSE),"")</f>
        <v/>
      </c>
      <c r="E238" s="20" t="str">
        <f>IFERROR(VLOOKUP([1]DATA!W229,'[1]DATA Engine'!$A$3:$H$800,5,FALSE),"")</f>
        <v/>
      </c>
      <c r="F238" s="18" t="str">
        <f>IFERROR(VLOOKUP([1]DATA!W229,'[1]DATA Engine'!$A$3:$H$800,6,FALSE),"")</f>
        <v/>
      </c>
      <c r="G238" s="18" t="str">
        <f>IFERROR(VLOOKUP([1]DATA!W229,'[1]DATA Engine'!$A$3:$H$800,7,FALSE),"")</f>
        <v/>
      </c>
      <c r="H238" s="18" t="str">
        <f>IFERROR(IF(ISNUMBER(SEARCH("GOW",VLOOKUP([1]DATA!W229,'[1]DATA Engine'!$A$3:$H$800,8,FALSE))),"GOW",""),"")</f>
        <v/>
      </c>
      <c r="I238" s="26"/>
      <c r="J238" s="24"/>
      <c r="K238" s="24"/>
      <c r="L238" s="24"/>
      <c r="M238" s="24"/>
      <c r="N238" s="24"/>
      <c r="O238" s="24"/>
      <c r="P238" s="25"/>
      <c r="Q238" s="1"/>
    </row>
    <row r="239" spans="2:17" ht="15">
      <c r="B239" s="18" t="str">
        <f>IF(C239="","",VLOOKUP([1]DATA!W230,'[1]DATA Engine'!$A$3:$H$800,2,FALSE))</f>
        <v/>
      </c>
      <c r="C239" s="19" t="str">
        <f>IFERROR(VLOOKUP([1]DATA!W230,'[1]DATA Engine'!$A$3:$H$800,3,FALSE),"")</f>
        <v/>
      </c>
      <c r="D239" s="20" t="str">
        <f>IFERROR(VLOOKUP([1]DATA!W230,'[1]DATA Engine'!$A$3:$H$800,4,FALSE),"")</f>
        <v/>
      </c>
      <c r="E239" s="20" t="str">
        <f>IFERROR(VLOOKUP([1]DATA!W230,'[1]DATA Engine'!$A$3:$H$800,5,FALSE),"")</f>
        <v/>
      </c>
      <c r="F239" s="18" t="str">
        <f>IFERROR(VLOOKUP([1]DATA!W230,'[1]DATA Engine'!$A$3:$H$800,6,FALSE),"")</f>
        <v/>
      </c>
      <c r="G239" s="18" t="str">
        <f>IFERROR(VLOOKUP([1]DATA!W230,'[1]DATA Engine'!$A$3:$H$800,7,FALSE),"")</f>
        <v/>
      </c>
      <c r="H239" s="18" t="str">
        <f>IFERROR(IF(ISNUMBER(SEARCH("GOW",VLOOKUP([1]DATA!W230,'[1]DATA Engine'!$A$3:$H$800,8,FALSE))),"GOW",""),"")</f>
        <v/>
      </c>
      <c r="I239" s="26"/>
      <c r="J239" s="24"/>
      <c r="K239" s="24"/>
      <c r="L239" s="24"/>
      <c r="M239" s="24"/>
      <c r="N239" s="24"/>
      <c r="O239" s="24"/>
      <c r="P239" s="25"/>
      <c r="Q239" s="1"/>
    </row>
    <row r="240" spans="2:17" ht="15">
      <c r="B240" s="18" t="str">
        <f>IF(C240="","",VLOOKUP([1]DATA!W231,'[1]DATA Engine'!$A$3:$H$800,2,FALSE))</f>
        <v/>
      </c>
      <c r="C240" s="19" t="str">
        <f>IFERROR(VLOOKUP([1]DATA!W231,'[1]DATA Engine'!$A$3:$H$800,3,FALSE),"")</f>
        <v/>
      </c>
      <c r="D240" s="20" t="str">
        <f>IFERROR(VLOOKUP([1]DATA!W231,'[1]DATA Engine'!$A$3:$H$800,4,FALSE),"")</f>
        <v/>
      </c>
      <c r="E240" s="20" t="str">
        <f>IFERROR(VLOOKUP([1]DATA!W231,'[1]DATA Engine'!$A$3:$H$800,5,FALSE),"")</f>
        <v/>
      </c>
      <c r="F240" s="18" t="str">
        <f>IFERROR(VLOOKUP([1]DATA!W231,'[1]DATA Engine'!$A$3:$H$800,6,FALSE),"")</f>
        <v/>
      </c>
      <c r="G240" s="18" t="str">
        <f>IFERROR(VLOOKUP([1]DATA!W231,'[1]DATA Engine'!$A$3:$H$800,7,FALSE),"")</f>
        <v/>
      </c>
      <c r="H240" s="18" t="str">
        <f>IFERROR(IF(ISNUMBER(SEARCH("GOW",VLOOKUP([1]DATA!W231,'[1]DATA Engine'!$A$3:$H$800,8,FALSE))),"GOW",""),"")</f>
        <v/>
      </c>
      <c r="I240" s="26"/>
      <c r="J240" s="24"/>
      <c r="K240" s="24"/>
      <c r="L240" s="24"/>
      <c r="M240" s="24"/>
      <c r="N240" s="24"/>
      <c r="O240" s="24"/>
      <c r="P240" s="25"/>
      <c r="Q240" s="1"/>
    </row>
    <row r="241" spans="2:17" ht="15">
      <c r="B241" s="18" t="str">
        <f>IF(C241="","",VLOOKUP([1]DATA!W232,'[1]DATA Engine'!$A$3:$H$800,2,FALSE))</f>
        <v/>
      </c>
      <c r="C241" s="19" t="str">
        <f>IFERROR(VLOOKUP([1]DATA!W232,'[1]DATA Engine'!$A$3:$H$800,3,FALSE),"")</f>
        <v/>
      </c>
      <c r="D241" s="20" t="str">
        <f>IFERROR(VLOOKUP([1]DATA!W232,'[1]DATA Engine'!$A$3:$H$800,4,FALSE),"")</f>
        <v/>
      </c>
      <c r="E241" s="20" t="str">
        <f>IFERROR(VLOOKUP([1]DATA!W232,'[1]DATA Engine'!$A$3:$H$800,5,FALSE),"")</f>
        <v/>
      </c>
      <c r="F241" s="18" t="str">
        <f>IFERROR(VLOOKUP([1]DATA!W232,'[1]DATA Engine'!$A$3:$H$800,6,FALSE),"")</f>
        <v/>
      </c>
      <c r="G241" s="18" t="str">
        <f>IFERROR(VLOOKUP([1]DATA!W232,'[1]DATA Engine'!$A$3:$H$800,7,FALSE),"")</f>
        <v/>
      </c>
      <c r="H241" s="18" t="str">
        <f>IFERROR(IF(ISNUMBER(SEARCH("GOW",VLOOKUP([1]DATA!W232,'[1]DATA Engine'!$A$3:$H$800,8,FALSE))),"GOW",""),"")</f>
        <v/>
      </c>
      <c r="I241" s="26"/>
      <c r="J241" s="24"/>
      <c r="K241" s="24"/>
      <c r="L241" s="24"/>
      <c r="M241" s="24"/>
      <c r="N241" s="24"/>
      <c r="O241" s="24"/>
      <c r="P241" s="25"/>
      <c r="Q241" s="1"/>
    </row>
    <row r="242" spans="2:17" ht="15">
      <c r="B242" s="18" t="str">
        <f>IF(C242="","",VLOOKUP([1]DATA!W233,'[1]DATA Engine'!$A$3:$H$800,2,FALSE))</f>
        <v/>
      </c>
      <c r="C242" s="19" t="str">
        <f>IFERROR(VLOOKUP([1]DATA!W233,'[1]DATA Engine'!$A$3:$H$800,3,FALSE),"")</f>
        <v/>
      </c>
      <c r="D242" s="20" t="str">
        <f>IFERROR(VLOOKUP([1]DATA!W233,'[1]DATA Engine'!$A$3:$H$800,4,FALSE),"")</f>
        <v/>
      </c>
      <c r="E242" s="20" t="str">
        <f>IFERROR(VLOOKUP([1]DATA!W233,'[1]DATA Engine'!$A$3:$H$800,5,FALSE),"")</f>
        <v/>
      </c>
      <c r="F242" s="18" t="str">
        <f>IFERROR(VLOOKUP([1]DATA!W233,'[1]DATA Engine'!$A$3:$H$800,6,FALSE),"")</f>
        <v/>
      </c>
      <c r="G242" s="18" t="str">
        <f>IFERROR(VLOOKUP([1]DATA!W233,'[1]DATA Engine'!$A$3:$H$800,7,FALSE),"")</f>
        <v/>
      </c>
      <c r="H242" s="18" t="str">
        <f>IFERROR(IF(ISNUMBER(SEARCH("GOW",VLOOKUP([1]DATA!W233,'[1]DATA Engine'!$A$3:$H$800,8,FALSE))),"GOW",""),"")</f>
        <v/>
      </c>
      <c r="I242" s="26"/>
      <c r="J242" s="24"/>
      <c r="K242" s="24"/>
      <c r="L242" s="24"/>
      <c r="M242" s="24"/>
      <c r="N242" s="24"/>
      <c r="O242" s="24"/>
      <c r="P242" s="25"/>
      <c r="Q242" s="1"/>
    </row>
    <row r="243" spans="2:17" ht="15">
      <c r="B243" s="18" t="str">
        <f>IF(C243="","",VLOOKUP([1]DATA!W234,'[1]DATA Engine'!$A$3:$H$800,2,FALSE))</f>
        <v/>
      </c>
      <c r="C243" s="19" t="str">
        <f>IFERROR(VLOOKUP([1]DATA!W234,'[1]DATA Engine'!$A$3:$H$800,3,FALSE),"")</f>
        <v/>
      </c>
      <c r="D243" s="20" t="str">
        <f>IFERROR(VLOOKUP([1]DATA!W234,'[1]DATA Engine'!$A$3:$H$800,4,FALSE),"")</f>
        <v/>
      </c>
      <c r="E243" s="20" t="str">
        <f>IFERROR(VLOOKUP([1]DATA!W234,'[1]DATA Engine'!$A$3:$H$800,5,FALSE),"")</f>
        <v/>
      </c>
      <c r="F243" s="18" t="str">
        <f>IFERROR(VLOOKUP([1]DATA!W234,'[1]DATA Engine'!$A$3:$H$800,6,FALSE),"")</f>
        <v/>
      </c>
      <c r="G243" s="18" t="str">
        <f>IFERROR(VLOOKUP([1]DATA!W234,'[1]DATA Engine'!$A$3:$H$800,7,FALSE),"")</f>
        <v/>
      </c>
      <c r="H243" s="18" t="str">
        <f>IFERROR(IF(ISNUMBER(SEARCH("GOW",VLOOKUP([1]DATA!W234,'[1]DATA Engine'!$A$3:$H$800,8,FALSE))),"GOW",""),"")</f>
        <v/>
      </c>
      <c r="I243" s="26"/>
      <c r="J243" s="24"/>
      <c r="K243" s="24"/>
      <c r="L243" s="24"/>
      <c r="M243" s="24"/>
      <c r="N243" s="24"/>
      <c r="O243" s="24"/>
      <c r="P243" s="25"/>
      <c r="Q243" s="1"/>
    </row>
    <row r="244" spans="2:17" ht="15">
      <c r="B244" s="18" t="str">
        <f>IF(C244="","",VLOOKUP([1]DATA!W235,'[1]DATA Engine'!$A$3:$H$800,2,FALSE))</f>
        <v/>
      </c>
      <c r="C244" s="19" t="str">
        <f>IFERROR(VLOOKUP([1]DATA!W235,'[1]DATA Engine'!$A$3:$H$800,3,FALSE),"")</f>
        <v/>
      </c>
      <c r="D244" s="20" t="str">
        <f>IFERROR(VLOOKUP([1]DATA!W235,'[1]DATA Engine'!$A$3:$H$800,4,FALSE),"")</f>
        <v/>
      </c>
      <c r="E244" s="20" t="str">
        <f>IFERROR(VLOOKUP([1]DATA!W235,'[1]DATA Engine'!$A$3:$H$800,5,FALSE),"")</f>
        <v/>
      </c>
      <c r="F244" s="18" t="str">
        <f>IFERROR(VLOOKUP([1]DATA!W235,'[1]DATA Engine'!$A$3:$H$800,6,FALSE),"")</f>
        <v/>
      </c>
      <c r="G244" s="18" t="str">
        <f>IFERROR(VLOOKUP([1]DATA!W235,'[1]DATA Engine'!$A$3:$H$800,7,FALSE),"")</f>
        <v/>
      </c>
      <c r="H244" s="18" t="str">
        <f>IFERROR(IF(ISNUMBER(SEARCH("GOW",VLOOKUP([1]DATA!W235,'[1]DATA Engine'!$A$3:$H$800,8,FALSE))),"GOW",""),"")</f>
        <v/>
      </c>
      <c r="I244" s="26"/>
      <c r="J244" s="24"/>
      <c r="K244" s="24"/>
      <c r="L244" s="24"/>
      <c r="M244" s="24"/>
      <c r="N244" s="24"/>
      <c r="O244" s="24"/>
      <c r="P244" s="25"/>
      <c r="Q244" s="1"/>
    </row>
    <row r="245" spans="2:17" ht="15">
      <c r="B245" s="18" t="str">
        <f>IF(C245="","",VLOOKUP([1]DATA!W236,'[1]DATA Engine'!$A$3:$H$800,2,FALSE))</f>
        <v/>
      </c>
      <c r="C245" s="19" t="str">
        <f>IFERROR(VLOOKUP([1]DATA!W236,'[1]DATA Engine'!$A$3:$H$800,3,FALSE),"")</f>
        <v/>
      </c>
      <c r="D245" s="20" t="str">
        <f>IFERROR(VLOOKUP([1]DATA!W236,'[1]DATA Engine'!$A$3:$H$800,4,FALSE),"")</f>
        <v/>
      </c>
      <c r="E245" s="20" t="str">
        <f>IFERROR(VLOOKUP([1]DATA!W236,'[1]DATA Engine'!$A$3:$H$800,5,FALSE),"")</f>
        <v/>
      </c>
      <c r="F245" s="18" t="str">
        <f>IFERROR(VLOOKUP([1]DATA!W236,'[1]DATA Engine'!$A$3:$H$800,6,FALSE),"")</f>
        <v/>
      </c>
      <c r="G245" s="18" t="str">
        <f>IFERROR(VLOOKUP([1]DATA!W236,'[1]DATA Engine'!$A$3:$H$800,7,FALSE),"")</f>
        <v/>
      </c>
      <c r="H245" s="18" t="str">
        <f>IFERROR(IF(ISNUMBER(SEARCH("GOW",VLOOKUP([1]DATA!W236,'[1]DATA Engine'!$A$3:$H$800,8,FALSE))),"GOW",""),"")</f>
        <v/>
      </c>
      <c r="I245" s="26"/>
      <c r="J245" s="24"/>
      <c r="K245" s="24"/>
      <c r="L245" s="24"/>
      <c r="M245" s="24"/>
      <c r="N245" s="24"/>
      <c r="O245" s="24"/>
      <c r="P245" s="25"/>
      <c r="Q245" s="1"/>
    </row>
    <row r="246" spans="2:17" ht="15">
      <c r="B246" s="18" t="str">
        <f>IF(C246="","",VLOOKUP([1]DATA!W237,'[1]DATA Engine'!$A$3:$H$800,2,FALSE))</f>
        <v/>
      </c>
      <c r="C246" s="19" t="str">
        <f>IFERROR(VLOOKUP([1]DATA!W237,'[1]DATA Engine'!$A$3:$H$800,3,FALSE),"")</f>
        <v/>
      </c>
      <c r="D246" s="20" t="str">
        <f>IFERROR(VLOOKUP([1]DATA!W237,'[1]DATA Engine'!$A$3:$H$800,4,FALSE),"")</f>
        <v/>
      </c>
      <c r="E246" s="20" t="str">
        <f>IFERROR(VLOOKUP([1]DATA!W237,'[1]DATA Engine'!$A$3:$H$800,5,FALSE),"")</f>
        <v/>
      </c>
      <c r="F246" s="18" t="str">
        <f>IFERROR(VLOOKUP([1]DATA!W237,'[1]DATA Engine'!$A$3:$H$800,6,FALSE),"")</f>
        <v/>
      </c>
      <c r="G246" s="18" t="str">
        <f>IFERROR(VLOOKUP([1]DATA!W237,'[1]DATA Engine'!$A$3:$H$800,7,FALSE),"")</f>
        <v/>
      </c>
      <c r="H246" s="18" t="str">
        <f>IFERROR(IF(ISNUMBER(SEARCH("GOW",VLOOKUP([1]DATA!W237,'[1]DATA Engine'!$A$3:$H$800,8,FALSE))),"GOW",""),"")</f>
        <v/>
      </c>
      <c r="I246" s="26"/>
      <c r="J246" s="24"/>
      <c r="K246" s="24"/>
      <c r="L246" s="24"/>
      <c r="M246" s="24"/>
      <c r="N246" s="24"/>
      <c r="O246" s="24"/>
      <c r="P246" s="25"/>
      <c r="Q246" s="1"/>
    </row>
    <row r="247" spans="2:17" ht="15">
      <c r="B247" s="18" t="str">
        <f>IF(C247="","",VLOOKUP([1]DATA!W238,'[1]DATA Engine'!$A$3:$H$800,2,FALSE))</f>
        <v/>
      </c>
      <c r="C247" s="19" t="str">
        <f>IFERROR(VLOOKUP([1]DATA!W238,'[1]DATA Engine'!$A$3:$H$800,3,FALSE),"")</f>
        <v/>
      </c>
      <c r="D247" s="20" t="str">
        <f>IFERROR(VLOOKUP([1]DATA!W238,'[1]DATA Engine'!$A$3:$H$800,4,FALSE),"")</f>
        <v/>
      </c>
      <c r="E247" s="20" t="str">
        <f>IFERROR(VLOOKUP([1]DATA!W238,'[1]DATA Engine'!$A$3:$H$800,5,FALSE),"")</f>
        <v/>
      </c>
      <c r="F247" s="18" t="str">
        <f>IFERROR(VLOOKUP([1]DATA!W238,'[1]DATA Engine'!$A$3:$H$800,6,FALSE),"")</f>
        <v/>
      </c>
      <c r="G247" s="18" t="str">
        <f>IFERROR(VLOOKUP([1]DATA!W238,'[1]DATA Engine'!$A$3:$H$800,7,FALSE),"")</f>
        <v/>
      </c>
      <c r="H247" s="18" t="str">
        <f>IFERROR(IF(ISNUMBER(SEARCH("GOW",VLOOKUP([1]DATA!W238,'[1]DATA Engine'!$A$3:$H$800,8,FALSE))),"GOW",""),"")</f>
        <v/>
      </c>
      <c r="I247" s="26"/>
      <c r="J247" s="24"/>
      <c r="K247" s="24"/>
      <c r="L247" s="24"/>
      <c r="M247" s="24"/>
      <c r="N247" s="24"/>
      <c r="O247" s="24"/>
      <c r="P247" s="25"/>
      <c r="Q247" s="1"/>
    </row>
    <row r="248" spans="2:17" ht="15">
      <c r="B248" s="18" t="str">
        <f>IF(C248="","",VLOOKUP([1]DATA!W239,'[1]DATA Engine'!$A$3:$H$800,2,FALSE))</f>
        <v/>
      </c>
      <c r="C248" s="19" t="str">
        <f>IFERROR(VLOOKUP([1]DATA!W239,'[1]DATA Engine'!$A$3:$H$800,3,FALSE),"")</f>
        <v/>
      </c>
      <c r="D248" s="20" t="str">
        <f>IFERROR(VLOOKUP([1]DATA!W239,'[1]DATA Engine'!$A$3:$H$800,4,FALSE),"")</f>
        <v/>
      </c>
      <c r="E248" s="20" t="str">
        <f>IFERROR(VLOOKUP([1]DATA!W239,'[1]DATA Engine'!$A$3:$H$800,5,FALSE),"")</f>
        <v/>
      </c>
      <c r="F248" s="18" t="str">
        <f>IFERROR(VLOOKUP([1]DATA!W239,'[1]DATA Engine'!$A$3:$H$800,6,FALSE),"")</f>
        <v/>
      </c>
      <c r="G248" s="18" t="str">
        <f>IFERROR(VLOOKUP([1]DATA!W239,'[1]DATA Engine'!$A$3:$H$800,7,FALSE),"")</f>
        <v/>
      </c>
      <c r="H248" s="18" t="str">
        <f>IFERROR(IF(ISNUMBER(SEARCH("GOW",VLOOKUP([1]DATA!W239,'[1]DATA Engine'!$A$3:$H$800,8,FALSE))),"GOW",""),"")</f>
        <v/>
      </c>
      <c r="I248" s="26"/>
      <c r="J248" s="24"/>
      <c r="K248" s="24"/>
      <c r="L248" s="24"/>
      <c r="M248" s="24"/>
      <c r="N248" s="24"/>
      <c r="O248" s="24"/>
      <c r="P248" s="25"/>
      <c r="Q248" s="1"/>
    </row>
    <row r="249" spans="2:17" ht="15">
      <c r="B249" s="18" t="str">
        <f>IF(C249="","",VLOOKUP([1]DATA!W240,'[1]DATA Engine'!$A$3:$H$800,2,FALSE))</f>
        <v/>
      </c>
      <c r="C249" s="19" t="str">
        <f>IFERROR(VLOOKUP([1]DATA!W240,'[1]DATA Engine'!$A$3:$H$800,3,FALSE),"")</f>
        <v/>
      </c>
      <c r="D249" s="20" t="str">
        <f>IFERROR(VLOOKUP([1]DATA!W240,'[1]DATA Engine'!$A$3:$H$800,4,FALSE),"")</f>
        <v/>
      </c>
      <c r="E249" s="20" t="str">
        <f>IFERROR(VLOOKUP([1]DATA!W240,'[1]DATA Engine'!$A$3:$H$800,5,FALSE),"")</f>
        <v/>
      </c>
      <c r="F249" s="18" t="str">
        <f>IFERROR(VLOOKUP([1]DATA!W240,'[1]DATA Engine'!$A$3:$H$800,6,FALSE),"")</f>
        <v/>
      </c>
      <c r="G249" s="18" t="str">
        <f>IFERROR(VLOOKUP([1]DATA!W240,'[1]DATA Engine'!$A$3:$H$800,7,FALSE),"")</f>
        <v/>
      </c>
      <c r="H249" s="18" t="str">
        <f>IFERROR(IF(ISNUMBER(SEARCH("GOW",VLOOKUP([1]DATA!W240,'[1]DATA Engine'!$A$3:$H$800,8,FALSE))),"GOW",""),"")</f>
        <v/>
      </c>
      <c r="I249" s="26"/>
      <c r="J249" s="24"/>
      <c r="K249" s="24"/>
      <c r="L249" s="24"/>
      <c r="M249" s="24"/>
      <c r="N249" s="24"/>
      <c r="O249" s="24"/>
      <c r="P249" s="25"/>
      <c r="Q249" s="1"/>
    </row>
    <row r="250" spans="2:17" ht="15">
      <c r="B250" s="18" t="str">
        <f>IF(C250="","",VLOOKUP([1]DATA!W241,'[1]DATA Engine'!$A$3:$H$800,2,FALSE))</f>
        <v/>
      </c>
      <c r="C250" s="19" t="str">
        <f>IFERROR(VLOOKUP([1]DATA!W241,'[1]DATA Engine'!$A$3:$H$800,3,FALSE),"")</f>
        <v/>
      </c>
      <c r="D250" s="20" t="str">
        <f>IFERROR(VLOOKUP([1]DATA!W241,'[1]DATA Engine'!$A$3:$H$800,4,FALSE),"")</f>
        <v/>
      </c>
      <c r="E250" s="20" t="str">
        <f>IFERROR(VLOOKUP([1]DATA!W241,'[1]DATA Engine'!$A$3:$H$800,5,FALSE),"")</f>
        <v/>
      </c>
      <c r="F250" s="18" t="str">
        <f>IFERROR(VLOOKUP([1]DATA!W241,'[1]DATA Engine'!$A$3:$H$800,6,FALSE),"")</f>
        <v/>
      </c>
      <c r="G250" s="18" t="str">
        <f>IFERROR(VLOOKUP([1]DATA!W241,'[1]DATA Engine'!$A$3:$H$800,7,FALSE),"")</f>
        <v/>
      </c>
      <c r="H250" s="18" t="str">
        <f>IFERROR(IF(ISNUMBER(SEARCH("GOW",VLOOKUP([1]DATA!W241,'[1]DATA Engine'!$A$3:$H$800,8,FALSE))),"GOW",""),"")</f>
        <v/>
      </c>
      <c r="I250" s="26"/>
      <c r="J250" s="24"/>
      <c r="K250" s="24"/>
      <c r="L250" s="24"/>
      <c r="M250" s="24"/>
      <c r="N250" s="24"/>
      <c r="O250" s="24"/>
      <c r="P250" s="25"/>
      <c r="Q250" s="1"/>
    </row>
    <row r="251" spans="2:17" ht="15">
      <c r="B251" s="18" t="str">
        <f>IF(C251="","",VLOOKUP([1]DATA!W242,'[1]DATA Engine'!$A$3:$H$800,2,FALSE))</f>
        <v/>
      </c>
      <c r="C251" s="19" t="str">
        <f>IFERROR(VLOOKUP([1]DATA!W242,'[1]DATA Engine'!$A$3:$H$800,3,FALSE),"")</f>
        <v/>
      </c>
      <c r="D251" s="20" t="str">
        <f>IFERROR(VLOOKUP([1]DATA!W242,'[1]DATA Engine'!$A$3:$H$800,4,FALSE),"")</f>
        <v/>
      </c>
      <c r="E251" s="20" t="str">
        <f>IFERROR(VLOOKUP([1]DATA!W242,'[1]DATA Engine'!$A$3:$H$800,5,FALSE),"")</f>
        <v/>
      </c>
      <c r="F251" s="18" t="str">
        <f>IFERROR(VLOOKUP([1]DATA!W242,'[1]DATA Engine'!$A$3:$H$800,6,FALSE),"")</f>
        <v/>
      </c>
      <c r="G251" s="18" t="str">
        <f>IFERROR(VLOOKUP([1]DATA!W242,'[1]DATA Engine'!$A$3:$H$800,7,FALSE),"")</f>
        <v/>
      </c>
      <c r="H251" s="18" t="str">
        <f>IFERROR(IF(ISNUMBER(SEARCH("GOW",VLOOKUP([1]DATA!W242,'[1]DATA Engine'!$A$3:$H$800,8,FALSE))),"GOW",""),"")</f>
        <v/>
      </c>
      <c r="I251" s="26"/>
      <c r="J251" s="24"/>
      <c r="K251" s="24"/>
      <c r="L251" s="24"/>
      <c r="M251" s="24"/>
      <c r="N251" s="24"/>
      <c r="O251" s="24"/>
      <c r="P251" s="25"/>
      <c r="Q251" s="1"/>
    </row>
    <row r="252" spans="2:17" ht="15">
      <c r="B252" s="18" t="str">
        <f>IF(C252="","",VLOOKUP([1]DATA!W243,'[1]DATA Engine'!$A$3:$H$800,2,FALSE))</f>
        <v/>
      </c>
      <c r="C252" s="19" t="str">
        <f>IFERROR(VLOOKUP([1]DATA!W243,'[1]DATA Engine'!$A$3:$H$800,3,FALSE),"")</f>
        <v/>
      </c>
      <c r="D252" s="20" t="str">
        <f>IFERROR(VLOOKUP([1]DATA!W243,'[1]DATA Engine'!$A$3:$H$800,4,FALSE),"")</f>
        <v/>
      </c>
      <c r="E252" s="20" t="str">
        <f>IFERROR(VLOOKUP([1]DATA!W243,'[1]DATA Engine'!$A$3:$H$800,5,FALSE),"")</f>
        <v/>
      </c>
      <c r="F252" s="18" t="str">
        <f>IFERROR(VLOOKUP([1]DATA!W243,'[1]DATA Engine'!$A$3:$H$800,6,FALSE),"")</f>
        <v/>
      </c>
      <c r="G252" s="18" t="str">
        <f>IFERROR(VLOOKUP([1]DATA!W243,'[1]DATA Engine'!$A$3:$H$800,7,FALSE),"")</f>
        <v/>
      </c>
      <c r="H252" s="18" t="str">
        <f>IFERROR(IF(ISNUMBER(SEARCH("GOW",VLOOKUP([1]DATA!W243,'[1]DATA Engine'!$A$3:$H$800,8,FALSE))),"GOW",""),"")</f>
        <v/>
      </c>
      <c r="I252" s="26"/>
      <c r="J252" s="24"/>
      <c r="K252" s="24"/>
      <c r="L252" s="24"/>
      <c r="M252" s="24"/>
      <c r="N252" s="24"/>
      <c r="O252" s="24"/>
      <c r="P252" s="25"/>
      <c r="Q252" s="1"/>
    </row>
    <row r="253" spans="2:17" ht="15">
      <c r="B253" s="18" t="str">
        <f>IF(C253="","",VLOOKUP([1]DATA!W244,'[1]DATA Engine'!$A$3:$H$800,2,FALSE))</f>
        <v/>
      </c>
      <c r="C253" s="19" t="str">
        <f>IFERROR(VLOOKUP([1]DATA!W244,'[1]DATA Engine'!$A$3:$H$800,3,FALSE),"")</f>
        <v/>
      </c>
      <c r="D253" s="20" t="str">
        <f>IFERROR(VLOOKUP([1]DATA!W244,'[1]DATA Engine'!$A$3:$H$800,4,FALSE),"")</f>
        <v/>
      </c>
      <c r="E253" s="20" t="str">
        <f>IFERROR(VLOOKUP([1]DATA!W244,'[1]DATA Engine'!$A$3:$H$800,5,FALSE),"")</f>
        <v/>
      </c>
      <c r="F253" s="18" t="str">
        <f>IFERROR(VLOOKUP([1]DATA!W244,'[1]DATA Engine'!$A$3:$H$800,6,FALSE),"")</f>
        <v/>
      </c>
      <c r="G253" s="18" t="str">
        <f>IFERROR(VLOOKUP([1]DATA!W244,'[1]DATA Engine'!$A$3:$H$800,7,FALSE),"")</f>
        <v/>
      </c>
      <c r="H253" s="18" t="str">
        <f>IFERROR(IF(ISNUMBER(SEARCH("GOW",VLOOKUP([1]DATA!W244,'[1]DATA Engine'!$A$3:$H$800,8,FALSE))),"GOW",""),"")</f>
        <v/>
      </c>
      <c r="I253" s="26"/>
      <c r="J253" s="24"/>
      <c r="K253" s="24"/>
      <c r="L253" s="24"/>
      <c r="M253" s="24"/>
      <c r="N253" s="24"/>
      <c r="O253" s="24"/>
      <c r="P253" s="25"/>
      <c r="Q253" s="1"/>
    </row>
    <row r="254" spans="2:17" ht="15">
      <c r="B254" s="18" t="str">
        <f>IF(C254="","",VLOOKUP([1]DATA!W245,'[1]DATA Engine'!$A$3:$H$800,2,FALSE))</f>
        <v/>
      </c>
      <c r="C254" s="19" t="str">
        <f>IFERROR(VLOOKUP([1]DATA!W245,'[1]DATA Engine'!$A$3:$H$800,3,FALSE),"")</f>
        <v/>
      </c>
      <c r="D254" s="20" t="str">
        <f>IFERROR(VLOOKUP([1]DATA!W245,'[1]DATA Engine'!$A$3:$H$800,4,FALSE),"")</f>
        <v/>
      </c>
      <c r="E254" s="20" t="str">
        <f>IFERROR(VLOOKUP([1]DATA!W245,'[1]DATA Engine'!$A$3:$H$800,5,FALSE),"")</f>
        <v/>
      </c>
      <c r="F254" s="18" t="str">
        <f>IFERROR(VLOOKUP([1]DATA!W245,'[1]DATA Engine'!$A$3:$H$800,6,FALSE),"")</f>
        <v/>
      </c>
      <c r="G254" s="18" t="str">
        <f>IFERROR(VLOOKUP([1]DATA!W245,'[1]DATA Engine'!$A$3:$H$800,7,FALSE),"")</f>
        <v/>
      </c>
      <c r="H254" s="18" t="str">
        <f>IFERROR(IF(ISNUMBER(SEARCH("GOW",VLOOKUP([1]DATA!W245,'[1]DATA Engine'!$A$3:$H$800,8,FALSE))),"GOW",""),"")</f>
        <v/>
      </c>
      <c r="I254" s="26"/>
      <c r="J254" s="24"/>
      <c r="K254" s="24"/>
      <c r="L254" s="24"/>
      <c r="M254" s="24"/>
      <c r="N254" s="24"/>
      <c r="O254" s="24"/>
      <c r="P254" s="25"/>
      <c r="Q254" s="1"/>
    </row>
    <row r="255" spans="2:17" ht="15">
      <c r="B255" s="18" t="str">
        <f>IF(C255="","",VLOOKUP([1]DATA!W246,'[1]DATA Engine'!$A$3:$H$800,2,FALSE))</f>
        <v/>
      </c>
      <c r="C255" s="19" t="str">
        <f>IFERROR(VLOOKUP([1]DATA!W246,'[1]DATA Engine'!$A$3:$H$800,3,FALSE),"")</f>
        <v/>
      </c>
      <c r="D255" s="20" t="str">
        <f>IFERROR(VLOOKUP([1]DATA!W246,'[1]DATA Engine'!$A$3:$H$800,4,FALSE),"")</f>
        <v/>
      </c>
      <c r="E255" s="20" t="str">
        <f>IFERROR(VLOOKUP([1]DATA!W246,'[1]DATA Engine'!$A$3:$H$800,5,FALSE),"")</f>
        <v/>
      </c>
      <c r="F255" s="18" t="str">
        <f>IFERROR(VLOOKUP([1]DATA!W246,'[1]DATA Engine'!$A$3:$H$800,6,FALSE),"")</f>
        <v/>
      </c>
      <c r="G255" s="18" t="str">
        <f>IFERROR(VLOOKUP([1]DATA!W246,'[1]DATA Engine'!$A$3:$H$800,7,FALSE),"")</f>
        <v/>
      </c>
      <c r="H255" s="18" t="str">
        <f>IFERROR(IF(ISNUMBER(SEARCH("GOW",VLOOKUP([1]DATA!W246,'[1]DATA Engine'!$A$3:$H$800,8,FALSE))),"GOW",""),"")</f>
        <v/>
      </c>
      <c r="I255" s="26"/>
      <c r="J255" s="24"/>
      <c r="K255" s="24"/>
      <c r="L255" s="24"/>
      <c r="M255" s="24"/>
      <c r="N255" s="24"/>
      <c r="O255" s="24"/>
      <c r="P255" s="25"/>
      <c r="Q255" s="1"/>
    </row>
    <row r="256" spans="2:17" ht="15">
      <c r="B256" s="18" t="str">
        <f>IF(C256="","",VLOOKUP([1]DATA!W247,'[1]DATA Engine'!$A$3:$H$800,2,FALSE))</f>
        <v/>
      </c>
      <c r="C256" s="19" t="str">
        <f>IFERROR(VLOOKUP([1]DATA!W247,'[1]DATA Engine'!$A$3:$H$800,3,FALSE),"")</f>
        <v/>
      </c>
      <c r="D256" s="20" t="str">
        <f>IFERROR(VLOOKUP([1]DATA!W247,'[1]DATA Engine'!$A$3:$H$800,4,FALSE),"")</f>
        <v/>
      </c>
      <c r="E256" s="20" t="str">
        <f>IFERROR(VLOOKUP([1]DATA!W247,'[1]DATA Engine'!$A$3:$H$800,5,FALSE),"")</f>
        <v/>
      </c>
      <c r="F256" s="18" t="str">
        <f>IFERROR(VLOOKUP([1]DATA!W247,'[1]DATA Engine'!$A$3:$H$800,6,FALSE),"")</f>
        <v/>
      </c>
      <c r="G256" s="18" t="str">
        <f>IFERROR(VLOOKUP([1]DATA!W247,'[1]DATA Engine'!$A$3:$H$800,7,FALSE),"")</f>
        <v/>
      </c>
      <c r="H256" s="18" t="str">
        <f>IFERROR(IF(ISNUMBER(SEARCH("GOW",VLOOKUP([1]DATA!W247,'[1]DATA Engine'!$A$3:$H$800,8,FALSE))),"GOW",""),"")</f>
        <v/>
      </c>
      <c r="I256" s="26"/>
      <c r="J256" s="24"/>
      <c r="K256" s="24"/>
      <c r="L256" s="24"/>
      <c r="M256" s="24"/>
      <c r="N256" s="24"/>
      <c r="O256" s="24"/>
      <c r="P256" s="25"/>
      <c r="Q256" s="1"/>
    </row>
    <row r="257" spans="2:17" ht="15">
      <c r="B257" s="18" t="str">
        <f>IF(C257="","",VLOOKUP([1]DATA!W248,'[1]DATA Engine'!$A$3:$H$800,2,FALSE))</f>
        <v/>
      </c>
      <c r="C257" s="19" t="str">
        <f>IFERROR(VLOOKUP([1]DATA!W248,'[1]DATA Engine'!$A$3:$H$800,3,FALSE),"")</f>
        <v/>
      </c>
      <c r="D257" s="20" t="str">
        <f>IFERROR(VLOOKUP([1]DATA!W248,'[1]DATA Engine'!$A$3:$H$800,4,FALSE),"")</f>
        <v/>
      </c>
      <c r="E257" s="20" t="str">
        <f>IFERROR(VLOOKUP([1]DATA!W248,'[1]DATA Engine'!$A$3:$H$800,5,FALSE),"")</f>
        <v/>
      </c>
      <c r="F257" s="18" t="str">
        <f>IFERROR(VLOOKUP([1]DATA!W248,'[1]DATA Engine'!$A$3:$H$800,6,FALSE),"")</f>
        <v/>
      </c>
      <c r="G257" s="18" t="str">
        <f>IFERROR(VLOOKUP([1]DATA!W248,'[1]DATA Engine'!$A$3:$H$800,7,FALSE),"")</f>
        <v/>
      </c>
      <c r="H257" s="18" t="str">
        <f>IFERROR(IF(ISNUMBER(SEARCH("GOW",VLOOKUP([1]DATA!W248,'[1]DATA Engine'!$A$3:$H$800,8,FALSE))),"GOW",""),"")</f>
        <v/>
      </c>
      <c r="I257" s="26"/>
      <c r="J257" s="24"/>
      <c r="K257" s="24"/>
      <c r="L257" s="24"/>
      <c r="M257" s="24"/>
      <c r="N257" s="24"/>
      <c r="O257" s="24"/>
      <c r="P257" s="25"/>
      <c r="Q257" s="1"/>
    </row>
    <row r="258" spans="2:17" ht="15">
      <c r="B258" s="18" t="str">
        <f>IF(C258="","",VLOOKUP([1]DATA!W249,'[1]DATA Engine'!$A$3:$H$800,2,FALSE))</f>
        <v/>
      </c>
      <c r="C258" s="19" t="str">
        <f>IFERROR(VLOOKUP([1]DATA!W249,'[1]DATA Engine'!$A$3:$H$800,3,FALSE),"")</f>
        <v/>
      </c>
      <c r="D258" s="20" t="str">
        <f>IFERROR(VLOOKUP([1]DATA!W249,'[1]DATA Engine'!$A$3:$H$800,4,FALSE),"")</f>
        <v/>
      </c>
      <c r="E258" s="20" t="str">
        <f>IFERROR(VLOOKUP([1]DATA!W249,'[1]DATA Engine'!$A$3:$H$800,5,FALSE),"")</f>
        <v/>
      </c>
      <c r="F258" s="18" t="str">
        <f>IFERROR(VLOOKUP([1]DATA!W249,'[1]DATA Engine'!$A$3:$H$800,6,FALSE),"")</f>
        <v/>
      </c>
      <c r="G258" s="18" t="str">
        <f>IFERROR(VLOOKUP([1]DATA!W249,'[1]DATA Engine'!$A$3:$H$800,7,FALSE),"")</f>
        <v/>
      </c>
      <c r="H258" s="18" t="str">
        <f>IFERROR(IF(ISNUMBER(SEARCH("GOW",VLOOKUP([1]DATA!W249,'[1]DATA Engine'!$A$3:$H$800,8,FALSE))),"GOW",""),"")</f>
        <v/>
      </c>
      <c r="I258" s="26"/>
      <c r="J258" s="24"/>
      <c r="K258" s="24"/>
      <c r="L258" s="24"/>
      <c r="M258" s="24"/>
      <c r="N258" s="24"/>
      <c r="O258" s="24"/>
      <c r="P258" s="25"/>
      <c r="Q258" s="1"/>
    </row>
    <row r="259" spans="2:17" ht="15">
      <c r="B259" s="18" t="str">
        <f>IF(C259="","",VLOOKUP([1]DATA!W250,'[1]DATA Engine'!$A$3:$H$800,2,FALSE))</f>
        <v/>
      </c>
      <c r="C259" s="19" t="str">
        <f>IFERROR(VLOOKUP([1]DATA!W250,'[1]DATA Engine'!$A$3:$H$800,3,FALSE),"")</f>
        <v/>
      </c>
      <c r="D259" s="20" t="str">
        <f>IFERROR(VLOOKUP([1]DATA!W250,'[1]DATA Engine'!$A$3:$H$800,4,FALSE),"")</f>
        <v/>
      </c>
      <c r="E259" s="20" t="str">
        <f>IFERROR(VLOOKUP([1]DATA!W250,'[1]DATA Engine'!$A$3:$H$800,5,FALSE),"")</f>
        <v/>
      </c>
      <c r="F259" s="18" t="str">
        <f>IFERROR(VLOOKUP([1]DATA!W250,'[1]DATA Engine'!$A$3:$H$800,6,FALSE),"")</f>
        <v/>
      </c>
      <c r="G259" s="18" t="str">
        <f>IFERROR(VLOOKUP([1]DATA!W250,'[1]DATA Engine'!$A$3:$H$800,7,FALSE),"")</f>
        <v/>
      </c>
      <c r="H259" s="18" t="str">
        <f>IFERROR(IF(ISNUMBER(SEARCH("GOW",VLOOKUP([1]DATA!W250,'[1]DATA Engine'!$A$3:$H$800,8,FALSE))),"GOW",""),"")</f>
        <v/>
      </c>
      <c r="I259" s="26"/>
      <c r="J259" s="24"/>
      <c r="K259" s="24"/>
      <c r="L259" s="24"/>
      <c r="M259" s="24"/>
      <c r="N259" s="24"/>
      <c r="O259" s="24"/>
      <c r="P259" s="25"/>
      <c r="Q259" s="1"/>
    </row>
    <row r="260" spans="2:17" ht="15">
      <c r="B260" s="18" t="str">
        <f>IF(C260="","",VLOOKUP([1]DATA!W251,'[1]DATA Engine'!$A$3:$H$800,2,FALSE))</f>
        <v/>
      </c>
      <c r="C260" s="19" t="str">
        <f>IFERROR(VLOOKUP([1]DATA!W251,'[1]DATA Engine'!$A$3:$H$800,3,FALSE),"")</f>
        <v/>
      </c>
      <c r="D260" s="20" t="str">
        <f>IFERROR(VLOOKUP([1]DATA!W251,'[1]DATA Engine'!$A$3:$H$800,4,FALSE),"")</f>
        <v/>
      </c>
      <c r="E260" s="20" t="str">
        <f>IFERROR(VLOOKUP([1]DATA!W251,'[1]DATA Engine'!$A$3:$H$800,5,FALSE),"")</f>
        <v/>
      </c>
      <c r="F260" s="18" t="str">
        <f>IFERROR(VLOOKUP([1]DATA!W251,'[1]DATA Engine'!$A$3:$H$800,6,FALSE),"")</f>
        <v/>
      </c>
      <c r="G260" s="18" t="str">
        <f>IFERROR(VLOOKUP([1]DATA!W251,'[1]DATA Engine'!$A$3:$H$800,7,FALSE),"")</f>
        <v/>
      </c>
      <c r="H260" s="18" t="str">
        <f>IFERROR(IF(ISNUMBER(SEARCH("GOW",VLOOKUP([1]DATA!W251,'[1]DATA Engine'!$A$3:$H$800,8,FALSE))),"GOW",""),"")</f>
        <v/>
      </c>
      <c r="I260" s="26"/>
      <c r="J260" s="24"/>
      <c r="K260" s="24"/>
      <c r="L260" s="24"/>
      <c r="M260" s="24"/>
      <c r="N260" s="24"/>
      <c r="O260" s="24"/>
      <c r="P260" s="25"/>
      <c r="Q260" s="1"/>
    </row>
    <row r="261" spans="2:17" ht="15">
      <c r="B261" s="18" t="str">
        <f>IF(C261="","",VLOOKUP([1]DATA!W252,'[1]DATA Engine'!$A$3:$H$800,2,FALSE))</f>
        <v/>
      </c>
      <c r="C261" s="19" t="str">
        <f>IFERROR(VLOOKUP([1]DATA!W252,'[1]DATA Engine'!$A$3:$H$800,3,FALSE),"")</f>
        <v/>
      </c>
      <c r="D261" s="20" t="str">
        <f>IFERROR(VLOOKUP([1]DATA!W252,'[1]DATA Engine'!$A$3:$H$800,4,FALSE),"")</f>
        <v/>
      </c>
      <c r="E261" s="20" t="str">
        <f>IFERROR(VLOOKUP([1]DATA!W252,'[1]DATA Engine'!$A$3:$H$800,5,FALSE),"")</f>
        <v/>
      </c>
      <c r="F261" s="18" t="str">
        <f>IFERROR(VLOOKUP([1]DATA!W252,'[1]DATA Engine'!$A$3:$H$800,6,FALSE),"")</f>
        <v/>
      </c>
      <c r="G261" s="18" t="str">
        <f>IFERROR(VLOOKUP([1]DATA!W252,'[1]DATA Engine'!$A$3:$H$800,7,FALSE),"")</f>
        <v/>
      </c>
      <c r="H261" s="18" t="str">
        <f>IFERROR(IF(ISNUMBER(SEARCH("GOW",VLOOKUP([1]DATA!W252,'[1]DATA Engine'!$A$3:$H$800,8,FALSE))),"GOW",""),"")</f>
        <v/>
      </c>
      <c r="I261" s="26"/>
      <c r="J261" s="24"/>
      <c r="K261" s="24"/>
      <c r="L261" s="24"/>
      <c r="M261" s="24"/>
      <c r="N261" s="24"/>
      <c r="O261" s="24"/>
      <c r="P261" s="25"/>
      <c r="Q261" s="1"/>
    </row>
    <row r="262" spans="2:17" ht="15">
      <c r="B262" s="18" t="str">
        <f>IF(C262="","",VLOOKUP([1]DATA!W253,'[1]DATA Engine'!$A$3:$H$800,2,FALSE))</f>
        <v/>
      </c>
      <c r="C262" s="19" t="str">
        <f>IFERROR(VLOOKUP([1]DATA!W253,'[1]DATA Engine'!$A$3:$H$800,3,FALSE),"")</f>
        <v/>
      </c>
      <c r="D262" s="20" t="str">
        <f>IFERROR(VLOOKUP([1]DATA!W253,'[1]DATA Engine'!$A$3:$H$800,4,FALSE),"")</f>
        <v/>
      </c>
      <c r="E262" s="20" t="str">
        <f>IFERROR(VLOOKUP([1]DATA!W253,'[1]DATA Engine'!$A$3:$H$800,5,FALSE),"")</f>
        <v/>
      </c>
      <c r="F262" s="18" t="str">
        <f>IFERROR(VLOOKUP([1]DATA!W253,'[1]DATA Engine'!$A$3:$H$800,6,FALSE),"")</f>
        <v/>
      </c>
      <c r="G262" s="18" t="str">
        <f>IFERROR(VLOOKUP([1]DATA!W253,'[1]DATA Engine'!$A$3:$H$800,7,FALSE),"")</f>
        <v/>
      </c>
      <c r="H262" s="18" t="str">
        <f>IFERROR(IF(ISNUMBER(SEARCH("GOW",VLOOKUP([1]DATA!W253,'[1]DATA Engine'!$A$3:$H$800,8,FALSE))),"GOW",""),"")</f>
        <v/>
      </c>
      <c r="I262" s="26"/>
      <c r="J262" s="24"/>
      <c r="K262" s="24"/>
      <c r="L262" s="24"/>
      <c r="M262" s="24"/>
      <c r="N262" s="24"/>
      <c r="O262" s="24"/>
      <c r="P262" s="25"/>
      <c r="Q262" s="1"/>
    </row>
    <row r="263" spans="2:17" ht="15">
      <c r="B263" s="18" t="str">
        <f>IF(C263="","",VLOOKUP([1]DATA!W254,'[1]DATA Engine'!$A$3:$H$800,2,FALSE))</f>
        <v/>
      </c>
      <c r="C263" s="19" t="str">
        <f>IFERROR(VLOOKUP([1]DATA!W254,'[1]DATA Engine'!$A$3:$H$800,3,FALSE),"")</f>
        <v/>
      </c>
      <c r="D263" s="20" t="str">
        <f>IFERROR(VLOOKUP([1]DATA!W254,'[1]DATA Engine'!$A$3:$H$800,4,FALSE),"")</f>
        <v/>
      </c>
      <c r="E263" s="20" t="str">
        <f>IFERROR(VLOOKUP([1]DATA!W254,'[1]DATA Engine'!$A$3:$H$800,5,FALSE),"")</f>
        <v/>
      </c>
      <c r="F263" s="18" t="str">
        <f>IFERROR(VLOOKUP([1]DATA!W254,'[1]DATA Engine'!$A$3:$H$800,6,FALSE),"")</f>
        <v/>
      </c>
      <c r="G263" s="18" t="str">
        <f>IFERROR(VLOOKUP([1]DATA!W254,'[1]DATA Engine'!$A$3:$H$800,7,FALSE),"")</f>
        <v/>
      </c>
      <c r="H263" s="18" t="str">
        <f>IFERROR(IF(ISNUMBER(SEARCH("GOW",VLOOKUP([1]DATA!W254,'[1]DATA Engine'!$A$3:$H$800,8,FALSE))),"GOW",""),"")</f>
        <v/>
      </c>
      <c r="I263" s="26"/>
      <c r="J263" s="24"/>
      <c r="K263" s="24"/>
      <c r="L263" s="24"/>
      <c r="M263" s="24"/>
      <c r="N263" s="24"/>
      <c r="O263" s="24"/>
      <c r="P263" s="25"/>
      <c r="Q263" s="1"/>
    </row>
    <row r="264" spans="2:17" ht="15">
      <c r="B264" s="18" t="str">
        <f>IF(C264="","",VLOOKUP([1]DATA!W255,'[1]DATA Engine'!$A$3:$H$800,2,FALSE))</f>
        <v/>
      </c>
      <c r="C264" s="19" t="str">
        <f>IFERROR(VLOOKUP([1]DATA!W255,'[1]DATA Engine'!$A$3:$H$800,3,FALSE),"")</f>
        <v/>
      </c>
      <c r="D264" s="20" t="str">
        <f>IFERROR(VLOOKUP([1]DATA!W255,'[1]DATA Engine'!$A$3:$H$800,4,FALSE),"")</f>
        <v/>
      </c>
      <c r="E264" s="20" t="str">
        <f>IFERROR(VLOOKUP([1]DATA!W255,'[1]DATA Engine'!$A$3:$H$800,5,FALSE),"")</f>
        <v/>
      </c>
      <c r="F264" s="18" t="str">
        <f>IFERROR(VLOOKUP([1]DATA!W255,'[1]DATA Engine'!$A$3:$H$800,6,FALSE),"")</f>
        <v/>
      </c>
      <c r="G264" s="18" t="str">
        <f>IFERROR(VLOOKUP([1]DATA!W255,'[1]DATA Engine'!$A$3:$H$800,7,FALSE),"")</f>
        <v/>
      </c>
      <c r="H264" s="18" t="str">
        <f>IFERROR(IF(ISNUMBER(SEARCH("GOW",VLOOKUP([1]DATA!W255,'[1]DATA Engine'!$A$3:$H$800,8,FALSE))),"GOW",""),"")</f>
        <v/>
      </c>
      <c r="I264" s="26"/>
      <c r="J264" s="24"/>
      <c r="K264" s="24"/>
      <c r="L264" s="24"/>
      <c r="M264" s="24"/>
      <c r="N264" s="24"/>
      <c r="O264" s="24"/>
      <c r="P264" s="25"/>
      <c r="Q264" s="1"/>
    </row>
    <row r="265" spans="2:17" ht="15">
      <c r="B265" s="18" t="str">
        <f>IF(C265="","",VLOOKUP([1]DATA!W256,'[1]DATA Engine'!$A$3:$H$800,2,FALSE))</f>
        <v/>
      </c>
      <c r="C265" s="19" t="str">
        <f>IFERROR(VLOOKUP([1]DATA!W256,'[1]DATA Engine'!$A$3:$H$800,3,FALSE),"")</f>
        <v/>
      </c>
      <c r="D265" s="20" t="str">
        <f>IFERROR(VLOOKUP([1]DATA!W256,'[1]DATA Engine'!$A$3:$H$800,4,FALSE),"")</f>
        <v/>
      </c>
      <c r="E265" s="20" t="str">
        <f>IFERROR(VLOOKUP([1]DATA!W256,'[1]DATA Engine'!$A$3:$H$800,5,FALSE),"")</f>
        <v/>
      </c>
      <c r="F265" s="18" t="str">
        <f>IFERROR(VLOOKUP([1]DATA!W256,'[1]DATA Engine'!$A$3:$H$800,6,FALSE),"")</f>
        <v/>
      </c>
      <c r="G265" s="18" t="str">
        <f>IFERROR(VLOOKUP([1]DATA!W256,'[1]DATA Engine'!$A$3:$H$800,7,FALSE),"")</f>
        <v/>
      </c>
      <c r="H265" s="18" t="str">
        <f>IFERROR(IF(ISNUMBER(SEARCH("GOW",VLOOKUP([1]DATA!W256,'[1]DATA Engine'!$A$3:$H$800,8,FALSE))),"GOW",""),"")</f>
        <v/>
      </c>
      <c r="I265" s="26"/>
      <c r="J265" s="24"/>
      <c r="K265" s="24"/>
      <c r="L265" s="24"/>
      <c r="M265" s="24"/>
      <c r="N265" s="24"/>
      <c r="O265" s="24"/>
      <c r="P265" s="25"/>
      <c r="Q265" s="1"/>
    </row>
    <row r="266" spans="2:17" ht="15">
      <c r="B266" s="18" t="str">
        <f>IF(C266="","",VLOOKUP([1]DATA!W257,'[1]DATA Engine'!$A$3:$H$800,2,FALSE))</f>
        <v/>
      </c>
      <c r="C266" s="19" t="str">
        <f>IFERROR(VLOOKUP([1]DATA!W257,'[1]DATA Engine'!$A$3:$H$800,3,FALSE),"")</f>
        <v/>
      </c>
      <c r="D266" s="20" t="str">
        <f>IFERROR(VLOOKUP([1]DATA!W257,'[1]DATA Engine'!$A$3:$H$800,4,FALSE),"")</f>
        <v/>
      </c>
      <c r="E266" s="20" t="str">
        <f>IFERROR(VLOOKUP([1]DATA!W257,'[1]DATA Engine'!$A$3:$H$800,5,FALSE),"")</f>
        <v/>
      </c>
      <c r="F266" s="18" t="str">
        <f>IFERROR(VLOOKUP([1]DATA!W257,'[1]DATA Engine'!$A$3:$H$800,6,FALSE),"")</f>
        <v/>
      </c>
      <c r="G266" s="18" t="str">
        <f>IFERROR(VLOOKUP([1]DATA!W257,'[1]DATA Engine'!$A$3:$H$800,7,FALSE),"")</f>
        <v/>
      </c>
      <c r="H266" s="18" t="str">
        <f>IFERROR(IF(ISNUMBER(SEARCH("GOW",VLOOKUP([1]DATA!W257,'[1]DATA Engine'!$A$3:$H$800,8,FALSE))),"GOW",""),"")</f>
        <v/>
      </c>
      <c r="I266" s="26"/>
      <c r="J266" s="24"/>
      <c r="K266" s="24"/>
      <c r="L266" s="24"/>
      <c r="M266" s="24"/>
      <c r="N266" s="24"/>
      <c r="O266" s="24"/>
      <c r="P266" s="25"/>
      <c r="Q266" s="1"/>
    </row>
    <row r="267" spans="2:17" ht="15">
      <c r="B267" s="18" t="str">
        <f>IF(C267="","",VLOOKUP([1]DATA!W258,'[1]DATA Engine'!$A$3:$H$800,2,FALSE))</f>
        <v/>
      </c>
      <c r="C267" s="19" t="str">
        <f>IFERROR(VLOOKUP([1]DATA!W258,'[1]DATA Engine'!$A$3:$H$800,3,FALSE),"")</f>
        <v/>
      </c>
      <c r="D267" s="20" t="str">
        <f>IFERROR(VLOOKUP([1]DATA!W258,'[1]DATA Engine'!$A$3:$H$800,4,FALSE),"")</f>
        <v/>
      </c>
      <c r="E267" s="20" t="str">
        <f>IFERROR(VLOOKUP([1]DATA!W258,'[1]DATA Engine'!$A$3:$H$800,5,FALSE),"")</f>
        <v/>
      </c>
      <c r="F267" s="18" t="str">
        <f>IFERROR(VLOOKUP([1]DATA!W258,'[1]DATA Engine'!$A$3:$H$800,6,FALSE),"")</f>
        <v/>
      </c>
      <c r="G267" s="18" t="str">
        <f>IFERROR(VLOOKUP([1]DATA!W258,'[1]DATA Engine'!$A$3:$H$800,7,FALSE),"")</f>
        <v/>
      </c>
      <c r="H267" s="18" t="str">
        <f>IFERROR(IF(ISNUMBER(SEARCH("GOW",VLOOKUP([1]DATA!W258,'[1]DATA Engine'!$A$3:$H$800,8,FALSE))),"GOW",""),"")</f>
        <v/>
      </c>
      <c r="I267" s="26"/>
      <c r="J267" s="24"/>
      <c r="K267" s="24"/>
      <c r="L267" s="24"/>
      <c r="M267" s="24"/>
      <c r="N267" s="24"/>
      <c r="O267" s="24"/>
      <c r="P267" s="25"/>
      <c r="Q267" s="1"/>
    </row>
    <row r="268" spans="2:17" ht="15">
      <c r="B268" s="18" t="str">
        <f>IF(C268="","",VLOOKUP([1]DATA!W259,'[1]DATA Engine'!$A$3:$H$800,2,FALSE))</f>
        <v/>
      </c>
      <c r="C268" s="19" t="str">
        <f>IFERROR(VLOOKUP([1]DATA!W259,'[1]DATA Engine'!$A$3:$H$800,3,FALSE),"")</f>
        <v/>
      </c>
      <c r="D268" s="20" t="str">
        <f>IFERROR(VLOOKUP([1]DATA!W259,'[1]DATA Engine'!$A$3:$H$800,4,FALSE),"")</f>
        <v/>
      </c>
      <c r="E268" s="20" t="str">
        <f>IFERROR(VLOOKUP([1]DATA!W259,'[1]DATA Engine'!$A$3:$H$800,5,FALSE),"")</f>
        <v/>
      </c>
      <c r="F268" s="18" t="str">
        <f>IFERROR(VLOOKUP([1]DATA!W259,'[1]DATA Engine'!$A$3:$H$800,6,FALSE),"")</f>
        <v/>
      </c>
      <c r="G268" s="18" t="str">
        <f>IFERROR(VLOOKUP([1]DATA!W259,'[1]DATA Engine'!$A$3:$H$800,7,FALSE),"")</f>
        <v/>
      </c>
      <c r="H268" s="18" t="str">
        <f>IFERROR(IF(ISNUMBER(SEARCH("GOW",VLOOKUP([1]DATA!W259,'[1]DATA Engine'!$A$3:$H$800,8,FALSE))),"GOW",""),"")</f>
        <v/>
      </c>
      <c r="I268" s="26"/>
      <c r="J268" s="24"/>
      <c r="K268" s="24"/>
      <c r="L268" s="24"/>
      <c r="M268" s="24"/>
      <c r="N268" s="24"/>
      <c r="O268" s="24"/>
      <c r="P268" s="25"/>
      <c r="Q268" s="1"/>
    </row>
    <row r="269" spans="2:17" ht="15">
      <c r="B269" s="18" t="str">
        <f>IF(C269="","",VLOOKUP([1]DATA!W260,'[1]DATA Engine'!$A$3:$H$800,2,FALSE))</f>
        <v/>
      </c>
      <c r="C269" s="19" t="str">
        <f>IFERROR(VLOOKUP([1]DATA!W260,'[1]DATA Engine'!$A$3:$H$800,3,FALSE),"")</f>
        <v/>
      </c>
      <c r="D269" s="20" t="str">
        <f>IFERROR(VLOOKUP([1]DATA!W260,'[1]DATA Engine'!$A$3:$H$800,4,FALSE),"")</f>
        <v/>
      </c>
      <c r="E269" s="20" t="str">
        <f>IFERROR(VLOOKUP([1]DATA!W260,'[1]DATA Engine'!$A$3:$H$800,5,FALSE),"")</f>
        <v/>
      </c>
      <c r="F269" s="18" t="str">
        <f>IFERROR(VLOOKUP([1]DATA!W260,'[1]DATA Engine'!$A$3:$H$800,6,FALSE),"")</f>
        <v/>
      </c>
      <c r="G269" s="18" t="str">
        <f>IFERROR(VLOOKUP([1]DATA!W260,'[1]DATA Engine'!$A$3:$H$800,7,FALSE),"")</f>
        <v/>
      </c>
      <c r="H269" s="18" t="str">
        <f>IFERROR(IF(ISNUMBER(SEARCH("GOW",VLOOKUP([1]DATA!W260,'[1]DATA Engine'!$A$3:$H$800,8,FALSE))),"GOW",""),"")</f>
        <v/>
      </c>
      <c r="I269" s="26"/>
      <c r="J269" s="24"/>
      <c r="K269" s="24"/>
      <c r="L269" s="24"/>
      <c r="M269" s="24"/>
      <c r="N269" s="24"/>
      <c r="O269" s="24"/>
      <c r="P269" s="25"/>
      <c r="Q269" s="1"/>
    </row>
    <row r="270" spans="2:17" ht="15">
      <c r="B270" s="18" t="str">
        <f>IF(C270="","",VLOOKUP([1]DATA!W261,'[1]DATA Engine'!$A$3:$H$800,2,FALSE))</f>
        <v/>
      </c>
      <c r="C270" s="19" t="str">
        <f>IFERROR(VLOOKUP([1]DATA!W261,'[1]DATA Engine'!$A$3:$H$800,3,FALSE),"")</f>
        <v/>
      </c>
      <c r="D270" s="20" t="str">
        <f>IFERROR(VLOOKUP([1]DATA!W261,'[1]DATA Engine'!$A$3:$H$800,4,FALSE),"")</f>
        <v/>
      </c>
      <c r="E270" s="20" t="str">
        <f>IFERROR(VLOOKUP([1]DATA!W261,'[1]DATA Engine'!$A$3:$H$800,5,FALSE),"")</f>
        <v/>
      </c>
      <c r="F270" s="18" t="str">
        <f>IFERROR(VLOOKUP([1]DATA!W261,'[1]DATA Engine'!$A$3:$H$800,6,FALSE),"")</f>
        <v/>
      </c>
      <c r="G270" s="18" t="str">
        <f>IFERROR(VLOOKUP([1]DATA!W261,'[1]DATA Engine'!$A$3:$H$800,7,FALSE),"")</f>
        <v/>
      </c>
      <c r="H270" s="18" t="str">
        <f>IFERROR(IF(ISNUMBER(SEARCH("GOW",VLOOKUP([1]DATA!W261,'[1]DATA Engine'!$A$3:$H$800,8,FALSE))),"GOW",""),"")</f>
        <v/>
      </c>
      <c r="I270" s="26"/>
      <c r="J270" s="24"/>
      <c r="K270" s="24"/>
      <c r="L270" s="24"/>
      <c r="M270" s="24"/>
      <c r="N270" s="24"/>
      <c r="O270" s="24"/>
      <c r="P270" s="25"/>
      <c r="Q270" s="1"/>
    </row>
    <row r="271" spans="2:17" ht="15">
      <c r="B271" s="18" t="str">
        <f>IF(C271="","",VLOOKUP([1]DATA!W262,'[1]DATA Engine'!$A$3:$H$800,2,FALSE))</f>
        <v/>
      </c>
      <c r="C271" s="19" t="str">
        <f>IFERROR(VLOOKUP([1]DATA!W262,'[1]DATA Engine'!$A$3:$H$800,3,FALSE),"")</f>
        <v/>
      </c>
      <c r="D271" s="20" t="str">
        <f>IFERROR(VLOOKUP([1]DATA!W262,'[1]DATA Engine'!$A$3:$H$800,4,FALSE),"")</f>
        <v/>
      </c>
      <c r="E271" s="20" t="str">
        <f>IFERROR(VLOOKUP([1]DATA!W262,'[1]DATA Engine'!$A$3:$H$800,5,FALSE),"")</f>
        <v/>
      </c>
      <c r="F271" s="18" t="str">
        <f>IFERROR(VLOOKUP([1]DATA!W262,'[1]DATA Engine'!$A$3:$H$800,6,FALSE),"")</f>
        <v/>
      </c>
      <c r="G271" s="18" t="str">
        <f>IFERROR(VLOOKUP([1]DATA!W262,'[1]DATA Engine'!$A$3:$H$800,7,FALSE),"")</f>
        <v/>
      </c>
      <c r="H271" s="18" t="str">
        <f>IFERROR(IF(ISNUMBER(SEARCH("GOW",VLOOKUP([1]DATA!W262,'[1]DATA Engine'!$A$3:$H$800,8,FALSE))),"GOW",""),"")</f>
        <v/>
      </c>
      <c r="I271" s="26"/>
      <c r="J271" s="24"/>
      <c r="K271" s="24"/>
      <c r="L271" s="24"/>
      <c r="M271" s="24"/>
      <c r="N271" s="24"/>
      <c r="O271" s="24"/>
      <c r="P271" s="25"/>
      <c r="Q271" s="1"/>
    </row>
    <row r="272" spans="2:17" ht="15">
      <c r="B272" s="18" t="str">
        <f>IF(C272="","",VLOOKUP([1]DATA!W263,'[1]DATA Engine'!$A$3:$H$800,2,FALSE))</f>
        <v/>
      </c>
      <c r="C272" s="19" t="str">
        <f>IFERROR(VLOOKUP([1]DATA!W263,'[1]DATA Engine'!$A$3:$H$800,3,FALSE),"")</f>
        <v/>
      </c>
      <c r="D272" s="20" t="str">
        <f>IFERROR(VLOOKUP([1]DATA!W263,'[1]DATA Engine'!$A$3:$H$800,4,FALSE),"")</f>
        <v/>
      </c>
      <c r="E272" s="20" t="str">
        <f>IFERROR(VLOOKUP([1]DATA!W263,'[1]DATA Engine'!$A$3:$H$800,5,FALSE),"")</f>
        <v/>
      </c>
      <c r="F272" s="18" t="str">
        <f>IFERROR(VLOOKUP([1]DATA!W263,'[1]DATA Engine'!$A$3:$H$800,6,FALSE),"")</f>
        <v/>
      </c>
      <c r="G272" s="18" t="str">
        <f>IFERROR(VLOOKUP([1]DATA!W263,'[1]DATA Engine'!$A$3:$H$800,7,FALSE),"")</f>
        <v/>
      </c>
      <c r="H272" s="18" t="str">
        <f>IFERROR(IF(ISNUMBER(SEARCH("GOW",VLOOKUP([1]DATA!W263,'[1]DATA Engine'!$A$3:$H$800,8,FALSE))),"GOW",""),"")</f>
        <v/>
      </c>
      <c r="I272" s="26"/>
      <c r="J272" s="24"/>
      <c r="K272" s="24"/>
      <c r="L272" s="24"/>
      <c r="M272" s="24"/>
      <c r="N272" s="24"/>
      <c r="O272" s="24"/>
      <c r="P272" s="25"/>
      <c r="Q272" s="1"/>
    </row>
    <row r="273" spans="2:17" ht="15">
      <c r="B273" s="18" t="str">
        <f>IF(C273="","",VLOOKUP([1]DATA!W264,'[1]DATA Engine'!$A$3:$H$800,2,FALSE))</f>
        <v/>
      </c>
      <c r="C273" s="19" t="str">
        <f>IFERROR(VLOOKUP([1]DATA!W264,'[1]DATA Engine'!$A$3:$H$800,3,FALSE),"")</f>
        <v/>
      </c>
      <c r="D273" s="20" t="str">
        <f>IFERROR(VLOOKUP([1]DATA!W264,'[1]DATA Engine'!$A$3:$H$800,4,FALSE),"")</f>
        <v/>
      </c>
      <c r="E273" s="20" t="str">
        <f>IFERROR(VLOOKUP([1]DATA!W264,'[1]DATA Engine'!$A$3:$H$800,5,FALSE),"")</f>
        <v/>
      </c>
      <c r="F273" s="18" t="str">
        <f>IFERROR(VLOOKUP([1]DATA!W264,'[1]DATA Engine'!$A$3:$H$800,6,FALSE),"")</f>
        <v/>
      </c>
      <c r="G273" s="18" t="str">
        <f>IFERROR(VLOOKUP([1]DATA!W264,'[1]DATA Engine'!$A$3:$H$800,7,FALSE),"")</f>
        <v/>
      </c>
      <c r="H273" s="18" t="str">
        <f>IFERROR(IF(ISNUMBER(SEARCH("GOW",VLOOKUP([1]DATA!W264,'[1]DATA Engine'!$A$3:$H$800,8,FALSE))),"GOW",""),"")</f>
        <v/>
      </c>
      <c r="I273" s="26"/>
      <c r="J273" s="24"/>
      <c r="K273" s="24"/>
      <c r="L273" s="24"/>
      <c r="M273" s="24"/>
      <c r="N273" s="24"/>
      <c r="O273" s="24"/>
      <c r="P273" s="25"/>
      <c r="Q273" s="1"/>
    </row>
    <row r="274" spans="2:17" ht="15">
      <c r="B274" s="18" t="str">
        <f>IF(C274="","",VLOOKUP([1]DATA!W265,'[1]DATA Engine'!$A$3:$H$800,2,FALSE))</f>
        <v/>
      </c>
      <c r="C274" s="19" t="str">
        <f>IFERROR(VLOOKUP([1]DATA!W265,'[1]DATA Engine'!$A$3:$H$800,3,FALSE),"")</f>
        <v/>
      </c>
      <c r="D274" s="20" t="str">
        <f>IFERROR(VLOOKUP([1]DATA!W265,'[1]DATA Engine'!$A$3:$H$800,4,FALSE),"")</f>
        <v/>
      </c>
      <c r="E274" s="20" t="str">
        <f>IFERROR(VLOOKUP([1]DATA!W265,'[1]DATA Engine'!$A$3:$H$800,5,FALSE),"")</f>
        <v/>
      </c>
      <c r="F274" s="18" t="str">
        <f>IFERROR(VLOOKUP([1]DATA!W265,'[1]DATA Engine'!$A$3:$H$800,6,FALSE),"")</f>
        <v/>
      </c>
      <c r="G274" s="18" t="str">
        <f>IFERROR(VLOOKUP([1]DATA!W265,'[1]DATA Engine'!$A$3:$H$800,7,FALSE),"")</f>
        <v/>
      </c>
      <c r="H274" s="18" t="str">
        <f>IFERROR(IF(ISNUMBER(SEARCH("GOW",VLOOKUP([1]DATA!W265,'[1]DATA Engine'!$A$3:$H$800,8,FALSE))),"GOW",""),"")</f>
        <v/>
      </c>
      <c r="I274" s="26"/>
      <c r="J274" s="24"/>
      <c r="K274" s="24"/>
      <c r="L274" s="24"/>
      <c r="M274" s="24"/>
      <c r="N274" s="24"/>
      <c r="O274" s="24"/>
      <c r="P274" s="25"/>
      <c r="Q274" s="1"/>
    </row>
    <row r="275" spans="2:17" ht="15">
      <c r="B275" s="18" t="str">
        <f>IF(C275="","",VLOOKUP([1]DATA!W266,'[1]DATA Engine'!$A$3:$H$800,2,FALSE))</f>
        <v/>
      </c>
      <c r="C275" s="19" t="str">
        <f>IFERROR(VLOOKUP([1]DATA!W266,'[1]DATA Engine'!$A$3:$H$800,3,FALSE),"")</f>
        <v/>
      </c>
      <c r="D275" s="20" t="str">
        <f>IFERROR(VLOOKUP([1]DATA!W266,'[1]DATA Engine'!$A$3:$H$800,4,FALSE),"")</f>
        <v/>
      </c>
      <c r="E275" s="20" t="str">
        <f>IFERROR(VLOOKUP([1]DATA!W266,'[1]DATA Engine'!$A$3:$H$800,5,FALSE),"")</f>
        <v/>
      </c>
      <c r="F275" s="18" t="str">
        <f>IFERROR(VLOOKUP([1]DATA!W266,'[1]DATA Engine'!$A$3:$H$800,6,FALSE),"")</f>
        <v/>
      </c>
      <c r="G275" s="18" t="str">
        <f>IFERROR(VLOOKUP([1]DATA!W266,'[1]DATA Engine'!$A$3:$H$800,7,FALSE),"")</f>
        <v/>
      </c>
      <c r="H275" s="18" t="str">
        <f>IFERROR(IF(ISNUMBER(SEARCH("GOW",VLOOKUP([1]DATA!W266,'[1]DATA Engine'!$A$3:$H$800,8,FALSE))),"GOW",""),"")</f>
        <v/>
      </c>
      <c r="I275" s="26"/>
      <c r="J275" s="24"/>
      <c r="K275" s="24"/>
      <c r="L275" s="24"/>
      <c r="M275" s="24"/>
      <c r="N275" s="24"/>
      <c r="O275" s="24"/>
      <c r="P275" s="25"/>
      <c r="Q275" s="1"/>
    </row>
    <row r="276" spans="2:17" ht="15">
      <c r="B276" s="18" t="str">
        <f>IF(C276="","",VLOOKUP([1]DATA!W267,'[1]DATA Engine'!$A$3:$H$800,2,FALSE))</f>
        <v/>
      </c>
      <c r="C276" s="19" t="str">
        <f>IFERROR(VLOOKUP([1]DATA!W267,'[1]DATA Engine'!$A$3:$H$800,3,FALSE),"")</f>
        <v/>
      </c>
      <c r="D276" s="20" t="str">
        <f>IFERROR(VLOOKUP([1]DATA!W267,'[1]DATA Engine'!$A$3:$H$800,4,FALSE),"")</f>
        <v/>
      </c>
      <c r="E276" s="20" t="str">
        <f>IFERROR(VLOOKUP([1]DATA!W267,'[1]DATA Engine'!$A$3:$H$800,5,FALSE),"")</f>
        <v/>
      </c>
      <c r="F276" s="18" t="str">
        <f>IFERROR(VLOOKUP([1]DATA!W267,'[1]DATA Engine'!$A$3:$H$800,6,FALSE),"")</f>
        <v/>
      </c>
      <c r="G276" s="18" t="str">
        <f>IFERROR(VLOOKUP([1]DATA!W267,'[1]DATA Engine'!$A$3:$H$800,7,FALSE),"")</f>
        <v/>
      </c>
      <c r="H276" s="18" t="str">
        <f>IFERROR(IF(ISNUMBER(SEARCH("GOW",VLOOKUP([1]DATA!W267,'[1]DATA Engine'!$A$3:$H$800,8,FALSE))),"GOW",""),"")</f>
        <v/>
      </c>
      <c r="I276" s="26"/>
      <c r="J276" s="24"/>
      <c r="K276" s="24"/>
      <c r="L276" s="24"/>
      <c r="M276" s="24"/>
      <c r="N276" s="24"/>
      <c r="O276" s="24"/>
      <c r="P276" s="25"/>
      <c r="Q276" s="1"/>
    </row>
    <row r="277" spans="2:17" ht="15">
      <c r="B277" s="18" t="str">
        <f>IF(C277="","",VLOOKUP([1]DATA!W268,'[1]DATA Engine'!$A$3:$H$800,2,FALSE))</f>
        <v/>
      </c>
      <c r="C277" s="19" t="str">
        <f>IFERROR(VLOOKUP([1]DATA!W268,'[1]DATA Engine'!$A$3:$H$800,3,FALSE),"")</f>
        <v/>
      </c>
      <c r="D277" s="20" t="str">
        <f>IFERROR(VLOOKUP([1]DATA!W268,'[1]DATA Engine'!$A$3:$H$800,4,FALSE),"")</f>
        <v/>
      </c>
      <c r="E277" s="20" t="str">
        <f>IFERROR(VLOOKUP([1]DATA!W268,'[1]DATA Engine'!$A$3:$H$800,5,FALSE),"")</f>
        <v/>
      </c>
      <c r="F277" s="18" t="str">
        <f>IFERROR(VLOOKUP([1]DATA!W268,'[1]DATA Engine'!$A$3:$H$800,6,FALSE),"")</f>
        <v/>
      </c>
      <c r="G277" s="18" t="str">
        <f>IFERROR(VLOOKUP([1]DATA!W268,'[1]DATA Engine'!$A$3:$H$800,7,FALSE),"")</f>
        <v/>
      </c>
      <c r="H277" s="18" t="str">
        <f>IFERROR(IF(ISNUMBER(SEARCH("GOW",VLOOKUP([1]DATA!W268,'[1]DATA Engine'!$A$3:$H$800,8,FALSE))),"GOW",""),"")</f>
        <v/>
      </c>
      <c r="I277" s="26"/>
      <c r="J277" s="24"/>
      <c r="K277" s="24"/>
      <c r="L277" s="24"/>
      <c r="M277" s="24"/>
      <c r="N277" s="24"/>
      <c r="O277" s="24"/>
      <c r="P277" s="25"/>
      <c r="Q277" s="1"/>
    </row>
    <row r="278" spans="2:17" ht="15">
      <c r="B278" s="18" t="str">
        <f>IF(C278="","",VLOOKUP([1]DATA!W269,'[1]DATA Engine'!$A$3:$H$800,2,FALSE))</f>
        <v/>
      </c>
      <c r="C278" s="19" t="str">
        <f>IFERROR(VLOOKUP([1]DATA!W269,'[1]DATA Engine'!$A$3:$H$800,3,FALSE),"")</f>
        <v/>
      </c>
      <c r="D278" s="20" t="str">
        <f>IFERROR(VLOOKUP([1]DATA!W269,'[1]DATA Engine'!$A$3:$H$800,4,FALSE),"")</f>
        <v/>
      </c>
      <c r="E278" s="20" t="str">
        <f>IFERROR(VLOOKUP([1]DATA!W269,'[1]DATA Engine'!$A$3:$H$800,5,FALSE),"")</f>
        <v/>
      </c>
      <c r="F278" s="18" t="str">
        <f>IFERROR(VLOOKUP([1]DATA!W269,'[1]DATA Engine'!$A$3:$H$800,6,FALSE),"")</f>
        <v/>
      </c>
      <c r="G278" s="18" t="str">
        <f>IFERROR(VLOOKUP([1]DATA!W269,'[1]DATA Engine'!$A$3:$H$800,7,FALSE),"")</f>
        <v/>
      </c>
      <c r="H278" s="18" t="str">
        <f>IFERROR(IF(ISNUMBER(SEARCH("GOW",VLOOKUP([1]DATA!W269,'[1]DATA Engine'!$A$3:$H$800,8,FALSE))),"GOW",""),"")</f>
        <v/>
      </c>
      <c r="I278" s="26"/>
      <c r="J278" s="24"/>
      <c r="K278" s="24"/>
      <c r="L278" s="24"/>
      <c r="M278" s="24"/>
      <c r="N278" s="24"/>
      <c r="O278" s="24"/>
      <c r="P278" s="25"/>
      <c r="Q278" s="1"/>
    </row>
    <row r="279" spans="2:17" ht="15">
      <c r="B279" s="18" t="str">
        <f>IF(C279="","",VLOOKUP([1]DATA!W270,'[1]DATA Engine'!$A$3:$H$800,2,FALSE))</f>
        <v/>
      </c>
      <c r="C279" s="19" t="str">
        <f>IFERROR(VLOOKUP([1]DATA!W270,'[1]DATA Engine'!$A$3:$H$800,3,FALSE),"")</f>
        <v/>
      </c>
      <c r="D279" s="20" t="str">
        <f>IFERROR(VLOOKUP([1]DATA!W270,'[1]DATA Engine'!$A$3:$H$800,4,FALSE),"")</f>
        <v/>
      </c>
      <c r="E279" s="20" t="str">
        <f>IFERROR(VLOOKUP([1]DATA!W270,'[1]DATA Engine'!$A$3:$H$800,5,FALSE),"")</f>
        <v/>
      </c>
      <c r="F279" s="18" t="str">
        <f>IFERROR(VLOOKUP([1]DATA!W270,'[1]DATA Engine'!$A$3:$H$800,6,FALSE),"")</f>
        <v/>
      </c>
      <c r="G279" s="18" t="str">
        <f>IFERROR(VLOOKUP([1]DATA!W270,'[1]DATA Engine'!$A$3:$H$800,7,FALSE),"")</f>
        <v/>
      </c>
      <c r="H279" s="18" t="str">
        <f>IFERROR(IF(ISNUMBER(SEARCH("GOW",VLOOKUP([1]DATA!W270,'[1]DATA Engine'!$A$3:$H$800,8,FALSE))),"GOW",""),"")</f>
        <v/>
      </c>
      <c r="I279" s="26"/>
      <c r="J279" s="24"/>
      <c r="K279" s="24"/>
      <c r="L279" s="24"/>
      <c r="M279" s="24"/>
      <c r="N279" s="24"/>
      <c r="O279" s="24"/>
      <c r="P279" s="25"/>
      <c r="Q279" s="1"/>
    </row>
    <row r="280" spans="2:17" ht="15">
      <c r="B280" s="18" t="str">
        <f>IF(C280="","",VLOOKUP([1]DATA!W271,'[1]DATA Engine'!$A$3:$H$800,2,FALSE))</f>
        <v/>
      </c>
      <c r="C280" s="19" t="str">
        <f>IFERROR(VLOOKUP([1]DATA!W271,'[1]DATA Engine'!$A$3:$H$800,3,FALSE),"")</f>
        <v/>
      </c>
      <c r="D280" s="20" t="str">
        <f>IFERROR(VLOOKUP([1]DATA!W271,'[1]DATA Engine'!$A$3:$H$800,4,FALSE),"")</f>
        <v/>
      </c>
      <c r="E280" s="20" t="str">
        <f>IFERROR(VLOOKUP([1]DATA!W271,'[1]DATA Engine'!$A$3:$H$800,5,FALSE),"")</f>
        <v/>
      </c>
      <c r="F280" s="18" t="str">
        <f>IFERROR(VLOOKUP([1]DATA!W271,'[1]DATA Engine'!$A$3:$H$800,6,FALSE),"")</f>
        <v/>
      </c>
      <c r="G280" s="18" t="str">
        <f>IFERROR(VLOOKUP([1]DATA!W271,'[1]DATA Engine'!$A$3:$H$800,7,FALSE),"")</f>
        <v/>
      </c>
      <c r="H280" s="18" t="str">
        <f>IFERROR(IF(ISNUMBER(SEARCH("GOW",VLOOKUP([1]DATA!W271,'[1]DATA Engine'!$A$3:$H$800,8,FALSE))),"GOW",""),"")</f>
        <v/>
      </c>
      <c r="I280" s="26"/>
      <c r="J280" s="24"/>
      <c r="K280" s="24"/>
      <c r="L280" s="24"/>
      <c r="M280" s="24"/>
      <c r="N280" s="24"/>
      <c r="O280" s="24"/>
      <c r="P280" s="25"/>
      <c r="Q280" s="1"/>
    </row>
    <row r="281" spans="2:17" ht="15">
      <c r="B281" s="18" t="str">
        <f>IF(C281="","",VLOOKUP([1]DATA!W272,'[1]DATA Engine'!$A$3:$H$800,2,FALSE))</f>
        <v/>
      </c>
      <c r="C281" s="19" t="str">
        <f>IFERROR(VLOOKUP([1]DATA!W272,'[1]DATA Engine'!$A$3:$H$800,3,FALSE),"")</f>
        <v/>
      </c>
      <c r="D281" s="20" t="str">
        <f>IFERROR(VLOOKUP([1]DATA!W272,'[1]DATA Engine'!$A$3:$H$800,4,FALSE),"")</f>
        <v/>
      </c>
      <c r="E281" s="20" t="str">
        <f>IFERROR(VLOOKUP([1]DATA!W272,'[1]DATA Engine'!$A$3:$H$800,5,FALSE),"")</f>
        <v/>
      </c>
      <c r="F281" s="18" t="str">
        <f>IFERROR(VLOOKUP([1]DATA!W272,'[1]DATA Engine'!$A$3:$H$800,6,FALSE),"")</f>
        <v/>
      </c>
      <c r="G281" s="18" t="str">
        <f>IFERROR(VLOOKUP([1]DATA!W272,'[1]DATA Engine'!$A$3:$H$800,7,FALSE),"")</f>
        <v/>
      </c>
      <c r="H281" s="18" t="str">
        <f>IFERROR(IF(ISNUMBER(SEARCH("GOW",VLOOKUP([1]DATA!W272,'[1]DATA Engine'!$A$3:$H$800,8,FALSE))),"GOW",""),"")</f>
        <v/>
      </c>
      <c r="I281" s="26"/>
      <c r="J281" s="24"/>
      <c r="K281" s="24"/>
      <c r="L281" s="24"/>
      <c r="M281" s="24"/>
      <c r="N281" s="24"/>
      <c r="O281" s="24"/>
      <c r="P281" s="25"/>
      <c r="Q281" s="1"/>
    </row>
    <row r="282" spans="2:17" ht="15">
      <c r="B282" s="18" t="str">
        <f>IF(C282="","",VLOOKUP([1]DATA!W273,'[1]DATA Engine'!$A$3:$H$800,2,FALSE))</f>
        <v/>
      </c>
      <c r="C282" s="19" t="str">
        <f>IFERROR(VLOOKUP([1]DATA!W273,'[1]DATA Engine'!$A$3:$H$800,3,FALSE),"")</f>
        <v/>
      </c>
      <c r="D282" s="20" t="str">
        <f>IFERROR(VLOOKUP([1]DATA!W273,'[1]DATA Engine'!$A$3:$H$800,4,FALSE),"")</f>
        <v/>
      </c>
      <c r="E282" s="20" t="str">
        <f>IFERROR(VLOOKUP([1]DATA!W273,'[1]DATA Engine'!$A$3:$H$800,5,FALSE),"")</f>
        <v/>
      </c>
      <c r="F282" s="18" t="str">
        <f>IFERROR(VLOOKUP([1]DATA!W273,'[1]DATA Engine'!$A$3:$H$800,6,FALSE),"")</f>
        <v/>
      </c>
      <c r="G282" s="18" t="str">
        <f>IFERROR(VLOOKUP([1]DATA!W273,'[1]DATA Engine'!$A$3:$H$800,7,FALSE),"")</f>
        <v/>
      </c>
      <c r="H282" s="18" t="str">
        <f>IFERROR(IF(ISNUMBER(SEARCH("GOW",VLOOKUP([1]DATA!W273,'[1]DATA Engine'!$A$3:$H$800,8,FALSE))),"GOW",""),"")</f>
        <v/>
      </c>
      <c r="I282" s="26"/>
      <c r="J282" s="24"/>
      <c r="K282" s="24"/>
      <c r="L282" s="24"/>
      <c r="M282" s="24"/>
      <c r="N282" s="24"/>
      <c r="O282" s="24"/>
      <c r="P282" s="25"/>
      <c r="Q282" s="1"/>
    </row>
    <row r="283" spans="2:17" ht="15">
      <c r="B283" s="18" t="str">
        <f>IF(C283="","",VLOOKUP([1]DATA!W274,'[1]DATA Engine'!$A$3:$H$800,2,FALSE))</f>
        <v/>
      </c>
      <c r="C283" s="19" t="str">
        <f>IFERROR(VLOOKUP([1]DATA!W274,'[1]DATA Engine'!$A$3:$H$800,3,FALSE),"")</f>
        <v/>
      </c>
      <c r="D283" s="20" t="str">
        <f>IFERROR(VLOOKUP([1]DATA!W274,'[1]DATA Engine'!$A$3:$H$800,4,FALSE),"")</f>
        <v/>
      </c>
      <c r="E283" s="20" t="str">
        <f>IFERROR(VLOOKUP([1]DATA!W274,'[1]DATA Engine'!$A$3:$H$800,5,FALSE),"")</f>
        <v/>
      </c>
      <c r="F283" s="18" t="str">
        <f>IFERROR(VLOOKUP([1]DATA!W274,'[1]DATA Engine'!$A$3:$H$800,6,FALSE),"")</f>
        <v/>
      </c>
      <c r="G283" s="18" t="str">
        <f>IFERROR(VLOOKUP([1]DATA!W274,'[1]DATA Engine'!$A$3:$H$800,7,FALSE),"")</f>
        <v/>
      </c>
      <c r="H283" s="18" t="str">
        <f>IFERROR(IF(ISNUMBER(SEARCH("GOW",VLOOKUP([1]DATA!W274,'[1]DATA Engine'!$A$3:$H$800,8,FALSE))),"GOW",""),"")</f>
        <v/>
      </c>
      <c r="I283" s="26"/>
      <c r="J283" s="24"/>
      <c r="K283" s="24"/>
      <c r="L283" s="24"/>
      <c r="M283" s="24"/>
      <c r="N283" s="24"/>
      <c r="O283" s="24"/>
      <c r="P283" s="25"/>
      <c r="Q283" s="1"/>
    </row>
    <row r="284" spans="2:17" ht="15">
      <c r="B284" s="18" t="str">
        <f>IF(C284="","",VLOOKUP([1]DATA!W275,'[1]DATA Engine'!$A$3:$H$800,2,FALSE))</f>
        <v/>
      </c>
      <c r="C284" s="19" t="str">
        <f>IFERROR(VLOOKUP([1]DATA!W275,'[1]DATA Engine'!$A$3:$H$800,3,FALSE),"")</f>
        <v/>
      </c>
      <c r="D284" s="20" t="str">
        <f>IFERROR(VLOOKUP([1]DATA!W275,'[1]DATA Engine'!$A$3:$H$800,4,FALSE),"")</f>
        <v/>
      </c>
      <c r="E284" s="20" t="str">
        <f>IFERROR(VLOOKUP([1]DATA!W275,'[1]DATA Engine'!$A$3:$H$800,5,FALSE),"")</f>
        <v/>
      </c>
      <c r="F284" s="18" t="str">
        <f>IFERROR(VLOOKUP([1]DATA!W275,'[1]DATA Engine'!$A$3:$H$800,6,FALSE),"")</f>
        <v/>
      </c>
      <c r="G284" s="18" t="str">
        <f>IFERROR(VLOOKUP([1]DATA!W275,'[1]DATA Engine'!$A$3:$H$800,7,FALSE),"")</f>
        <v/>
      </c>
      <c r="H284" s="18" t="str">
        <f>IFERROR(IF(ISNUMBER(SEARCH("GOW",VLOOKUP([1]DATA!W275,'[1]DATA Engine'!$A$3:$H$800,8,FALSE))),"GOW",""),"")</f>
        <v/>
      </c>
      <c r="I284" s="26"/>
      <c r="J284" s="24"/>
      <c r="K284" s="24"/>
      <c r="L284" s="24"/>
      <c r="M284" s="24"/>
      <c r="N284" s="24"/>
      <c r="O284" s="24"/>
      <c r="P284" s="25"/>
      <c r="Q284" s="1"/>
    </row>
    <row r="285" spans="2:17" ht="15">
      <c r="B285" s="18" t="str">
        <f>IF(C285="","",VLOOKUP([1]DATA!W276,'[1]DATA Engine'!$A$3:$H$800,2,FALSE))</f>
        <v/>
      </c>
      <c r="C285" s="19" t="str">
        <f>IFERROR(VLOOKUP([1]DATA!W276,'[1]DATA Engine'!$A$3:$H$800,3,FALSE),"")</f>
        <v/>
      </c>
      <c r="D285" s="20" t="str">
        <f>IFERROR(VLOOKUP([1]DATA!W276,'[1]DATA Engine'!$A$3:$H$800,4,FALSE),"")</f>
        <v/>
      </c>
      <c r="E285" s="20" t="str">
        <f>IFERROR(VLOOKUP([1]DATA!W276,'[1]DATA Engine'!$A$3:$H$800,5,FALSE),"")</f>
        <v/>
      </c>
      <c r="F285" s="18" t="str">
        <f>IFERROR(VLOOKUP([1]DATA!W276,'[1]DATA Engine'!$A$3:$H$800,6,FALSE),"")</f>
        <v/>
      </c>
      <c r="G285" s="18" t="str">
        <f>IFERROR(VLOOKUP([1]DATA!W276,'[1]DATA Engine'!$A$3:$H$800,7,FALSE),"")</f>
        <v/>
      </c>
      <c r="H285" s="18" t="str">
        <f>IFERROR(IF(ISNUMBER(SEARCH("GOW",VLOOKUP([1]DATA!W276,'[1]DATA Engine'!$A$3:$H$800,8,FALSE))),"GOW",""),"")</f>
        <v/>
      </c>
      <c r="I285" s="26"/>
      <c r="J285" s="24"/>
      <c r="K285" s="24"/>
      <c r="L285" s="24"/>
      <c r="M285" s="24"/>
      <c r="N285" s="24"/>
      <c r="O285" s="24"/>
      <c r="P285" s="25"/>
      <c r="Q285" s="1"/>
    </row>
    <row r="286" spans="2:17" ht="15">
      <c r="B286" s="18" t="str">
        <f>IF(C286="","",VLOOKUP([1]DATA!W277,'[1]DATA Engine'!$A$3:$H$800,2,FALSE))</f>
        <v/>
      </c>
      <c r="C286" s="19" t="str">
        <f>IFERROR(VLOOKUP([1]DATA!W277,'[1]DATA Engine'!$A$3:$H$800,3,FALSE),"")</f>
        <v/>
      </c>
      <c r="D286" s="20" t="str">
        <f>IFERROR(VLOOKUP([1]DATA!W277,'[1]DATA Engine'!$A$3:$H$800,4,FALSE),"")</f>
        <v/>
      </c>
      <c r="E286" s="20" t="str">
        <f>IFERROR(VLOOKUP([1]DATA!W277,'[1]DATA Engine'!$A$3:$H$800,5,FALSE),"")</f>
        <v/>
      </c>
      <c r="F286" s="18" t="str">
        <f>IFERROR(VLOOKUP([1]DATA!W277,'[1]DATA Engine'!$A$3:$H$800,6,FALSE),"")</f>
        <v/>
      </c>
      <c r="G286" s="18" t="str">
        <f>IFERROR(VLOOKUP([1]DATA!W277,'[1]DATA Engine'!$A$3:$H$800,7,FALSE),"")</f>
        <v/>
      </c>
      <c r="H286" s="18" t="str">
        <f>IFERROR(IF(ISNUMBER(SEARCH("GOW",VLOOKUP([1]DATA!W277,'[1]DATA Engine'!$A$3:$H$800,8,FALSE))),"GOW",""),"")</f>
        <v/>
      </c>
      <c r="I286" s="26"/>
      <c r="J286" s="24"/>
      <c r="K286" s="24"/>
      <c r="L286" s="24"/>
      <c r="M286" s="24"/>
      <c r="N286" s="24"/>
      <c r="O286" s="24"/>
      <c r="P286" s="25"/>
      <c r="Q286" s="1"/>
    </row>
    <row r="287" spans="2:17" ht="15">
      <c r="B287" s="18" t="str">
        <f>IF(C287="","",VLOOKUP([1]DATA!W278,'[1]DATA Engine'!$A$3:$H$800,2,FALSE))</f>
        <v/>
      </c>
      <c r="C287" s="19" t="str">
        <f>IFERROR(VLOOKUP([1]DATA!W278,'[1]DATA Engine'!$A$3:$H$800,3,FALSE),"")</f>
        <v/>
      </c>
      <c r="D287" s="20" t="str">
        <f>IFERROR(VLOOKUP([1]DATA!W278,'[1]DATA Engine'!$A$3:$H$800,4,FALSE),"")</f>
        <v/>
      </c>
      <c r="E287" s="20" t="str">
        <f>IFERROR(VLOOKUP([1]DATA!W278,'[1]DATA Engine'!$A$3:$H$800,5,FALSE),"")</f>
        <v/>
      </c>
      <c r="F287" s="18" t="str">
        <f>IFERROR(VLOOKUP([1]DATA!W278,'[1]DATA Engine'!$A$3:$H$800,6,FALSE),"")</f>
        <v/>
      </c>
      <c r="G287" s="18" t="str">
        <f>IFERROR(VLOOKUP([1]DATA!W278,'[1]DATA Engine'!$A$3:$H$800,7,FALSE),"")</f>
        <v/>
      </c>
      <c r="H287" s="18" t="str">
        <f>IFERROR(IF(ISNUMBER(SEARCH("GOW",VLOOKUP([1]DATA!W278,'[1]DATA Engine'!$A$3:$H$800,8,FALSE))),"GOW",""),"")</f>
        <v/>
      </c>
      <c r="I287" s="26"/>
      <c r="J287" s="24"/>
      <c r="K287" s="24"/>
      <c r="L287" s="24"/>
      <c r="M287" s="24"/>
      <c r="N287" s="24"/>
      <c r="O287" s="24"/>
      <c r="P287" s="25"/>
      <c r="Q287" s="1"/>
    </row>
    <row r="288" spans="2:17" ht="15">
      <c r="B288" s="18" t="str">
        <f>IF(C288="","",VLOOKUP([1]DATA!W279,'[1]DATA Engine'!$A$3:$H$800,2,FALSE))</f>
        <v/>
      </c>
      <c r="C288" s="19" t="str">
        <f>IFERROR(VLOOKUP([1]DATA!W279,'[1]DATA Engine'!$A$3:$H$800,3,FALSE),"")</f>
        <v/>
      </c>
      <c r="D288" s="20" t="str">
        <f>IFERROR(VLOOKUP([1]DATA!W279,'[1]DATA Engine'!$A$3:$H$800,4,FALSE),"")</f>
        <v/>
      </c>
      <c r="E288" s="20" t="str">
        <f>IFERROR(VLOOKUP([1]DATA!W279,'[1]DATA Engine'!$A$3:$H$800,5,FALSE),"")</f>
        <v/>
      </c>
      <c r="F288" s="18" t="str">
        <f>IFERROR(VLOOKUP([1]DATA!W279,'[1]DATA Engine'!$A$3:$H$800,6,FALSE),"")</f>
        <v/>
      </c>
      <c r="G288" s="18" t="str">
        <f>IFERROR(VLOOKUP([1]DATA!W279,'[1]DATA Engine'!$A$3:$H$800,7,FALSE),"")</f>
        <v/>
      </c>
      <c r="H288" s="18" t="str">
        <f>IFERROR(IF(ISNUMBER(SEARCH("GOW",VLOOKUP([1]DATA!W279,'[1]DATA Engine'!$A$3:$H$800,8,FALSE))),"GOW",""),"")</f>
        <v/>
      </c>
      <c r="I288" s="26"/>
      <c r="J288" s="24"/>
      <c r="K288" s="24"/>
      <c r="L288" s="24"/>
      <c r="M288" s="24"/>
      <c r="N288" s="24"/>
      <c r="O288" s="24"/>
      <c r="P288" s="25"/>
      <c r="Q288" s="1"/>
    </row>
    <row r="289" spans="2:17" ht="15">
      <c r="B289" s="18" t="str">
        <f>IF(C289="","",VLOOKUP([1]DATA!W280,'[1]DATA Engine'!$A$3:$H$800,2,FALSE))</f>
        <v/>
      </c>
      <c r="C289" s="19" t="str">
        <f>IFERROR(VLOOKUP([1]DATA!W280,'[1]DATA Engine'!$A$3:$H$800,3,FALSE),"")</f>
        <v/>
      </c>
      <c r="D289" s="20" t="str">
        <f>IFERROR(VLOOKUP([1]DATA!W280,'[1]DATA Engine'!$A$3:$H$800,4,FALSE),"")</f>
        <v/>
      </c>
      <c r="E289" s="20" t="str">
        <f>IFERROR(VLOOKUP([1]DATA!W280,'[1]DATA Engine'!$A$3:$H$800,5,FALSE),"")</f>
        <v/>
      </c>
      <c r="F289" s="18" t="str">
        <f>IFERROR(VLOOKUP([1]DATA!W280,'[1]DATA Engine'!$A$3:$H$800,6,FALSE),"")</f>
        <v/>
      </c>
      <c r="G289" s="18" t="str">
        <f>IFERROR(VLOOKUP([1]DATA!W280,'[1]DATA Engine'!$A$3:$H$800,7,FALSE),"")</f>
        <v/>
      </c>
      <c r="H289" s="18" t="str">
        <f>IFERROR(IF(ISNUMBER(SEARCH("GOW",VLOOKUP([1]DATA!W280,'[1]DATA Engine'!$A$3:$H$800,8,FALSE))),"GOW",""),"")</f>
        <v/>
      </c>
      <c r="I289" s="26"/>
      <c r="J289" s="24"/>
      <c r="K289" s="24"/>
      <c r="L289" s="24"/>
      <c r="M289" s="24"/>
      <c r="N289" s="24"/>
      <c r="O289" s="24"/>
      <c r="P289" s="25"/>
      <c r="Q289" s="1"/>
    </row>
    <row r="290" spans="2:17" ht="15">
      <c r="B290" s="18" t="str">
        <f>IF(C290="","",VLOOKUP([1]DATA!W281,'[1]DATA Engine'!$A$3:$H$800,2,FALSE))</f>
        <v/>
      </c>
      <c r="C290" s="19" t="str">
        <f>IFERROR(VLOOKUP([1]DATA!W281,'[1]DATA Engine'!$A$3:$H$800,3,FALSE),"")</f>
        <v/>
      </c>
      <c r="D290" s="20" t="str">
        <f>IFERROR(VLOOKUP([1]DATA!W281,'[1]DATA Engine'!$A$3:$H$800,4,FALSE),"")</f>
        <v/>
      </c>
      <c r="E290" s="20" t="str">
        <f>IFERROR(VLOOKUP([1]DATA!W281,'[1]DATA Engine'!$A$3:$H$800,5,FALSE),"")</f>
        <v/>
      </c>
      <c r="F290" s="18" t="str">
        <f>IFERROR(VLOOKUP([1]DATA!W281,'[1]DATA Engine'!$A$3:$H$800,6,FALSE),"")</f>
        <v/>
      </c>
      <c r="G290" s="18" t="str">
        <f>IFERROR(VLOOKUP([1]DATA!W281,'[1]DATA Engine'!$A$3:$H$800,7,FALSE),"")</f>
        <v/>
      </c>
      <c r="H290" s="18" t="str">
        <f>IFERROR(IF(ISNUMBER(SEARCH("GOW",VLOOKUP([1]DATA!W281,'[1]DATA Engine'!$A$3:$H$800,8,FALSE))),"GOW",""),"")</f>
        <v/>
      </c>
      <c r="I290" s="26"/>
      <c r="J290" s="24"/>
      <c r="K290" s="24"/>
      <c r="L290" s="24"/>
      <c r="M290" s="24"/>
      <c r="N290" s="24"/>
      <c r="O290" s="24"/>
      <c r="P290" s="25"/>
      <c r="Q290" s="1"/>
    </row>
    <row r="291" spans="2:17" ht="15">
      <c r="B291" s="18" t="str">
        <f>IF(C291="","",VLOOKUP([1]DATA!W282,'[1]DATA Engine'!$A$3:$H$800,2,FALSE))</f>
        <v/>
      </c>
      <c r="C291" s="19" t="str">
        <f>IFERROR(VLOOKUP([1]DATA!W282,'[1]DATA Engine'!$A$3:$H$800,3,FALSE),"")</f>
        <v/>
      </c>
      <c r="D291" s="20" t="str">
        <f>IFERROR(VLOOKUP([1]DATA!W282,'[1]DATA Engine'!$A$3:$H$800,4,FALSE),"")</f>
        <v/>
      </c>
      <c r="E291" s="20" t="str">
        <f>IFERROR(VLOOKUP([1]DATA!W282,'[1]DATA Engine'!$A$3:$H$800,5,FALSE),"")</f>
        <v/>
      </c>
      <c r="F291" s="18" t="str">
        <f>IFERROR(VLOOKUP([1]DATA!W282,'[1]DATA Engine'!$A$3:$H$800,6,FALSE),"")</f>
        <v/>
      </c>
      <c r="G291" s="18" t="str">
        <f>IFERROR(VLOOKUP([1]DATA!W282,'[1]DATA Engine'!$A$3:$H$800,7,FALSE),"")</f>
        <v/>
      </c>
      <c r="H291" s="18" t="str">
        <f>IFERROR(IF(ISNUMBER(SEARCH("GOW",VLOOKUP([1]DATA!W282,'[1]DATA Engine'!$A$3:$H$800,8,FALSE))),"GOW",""),"")</f>
        <v/>
      </c>
      <c r="I291" s="26"/>
      <c r="J291" s="24"/>
      <c r="K291" s="24"/>
      <c r="L291" s="24"/>
      <c r="M291" s="24"/>
      <c r="N291" s="24"/>
      <c r="O291" s="24"/>
      <c r="P291" s="25"/>
      <c r="Q291" s="1"/>
    </row>
    <row r="292" spans="2:17" ht="15">
      <c r="B292" s="18" t="str">
        <f>IF(C292="","",VLOOKUP([1]DATA!W283,'[1]DATA Engine'!$A$3:$H$800,2,FALSE))</f>
        <v/>
      </c>
      <c r="C292" s="19" t="str">
        <f>IFERROR(VLOOKUP([1]DATA!W283,'[1]DATA Engine'!$A$3:$H$800,3,FALSE),"")</f>
        <v/>
      </c>
      <c r="D292" s="20" t="str">
        <f>IFERROR(VLOOKUP([1]DATA!W283,'[1]DATA Engine'!$A$3:$H$800,4,FALSE),"")</f>
        <v/>
      </c>
      <c r="E292" s="20" t="str">
        <f>IFERROR(VLOOKUP([1]DATA!W283,'[1]DATA Engine'!$A$3:$H$800,5,FALSE),"")</f>
        <v/>
      </c>
      <c r="F292" s="18" t="str">
        <f>IFERROR(VLOOKUP([1]DATA!W283,'[1]DATA Engine'!$A$3:$H$800,6,FALSE),"")</f>
        <v/>
      </c>
      <c r="G292" s="18" t="str">
        <f>IFERROR(VLOOKUP([1]DATA!W283,'[1]DATA Engine'!$A$3:$H$800,7,FALSE),"")</f>
        <v/>
      </c>
      <c r="H292" s="18" t="str">
        <f>IFERROR(IF(ISNUMBER(SEARCH("GOW",VLOOKUP([1]DATA!W283,'[1]DATA Engine'!$A$3:$H$800,8,FALSE))),"GOW",""),"")</f>
        <v/>
      </c>
      <c r="I292" s="26"/>
      <c r="J292" s="24"/>
      <c r="K292" s="24"/>
      <c r="L292" s="24"/>
      <c r="M292" s="24"/>
      <c r="N292" s="24"/>
      <c r="O292" s="24"/>
      <c r="P292" s="25"/>
      <c r="Q292" s="1"/>
    </row>
    <row r="293" spans="2:17" ht="15">
      <c r="B293" s="18" t="str">
        <f>IF(C293="","",VLOOKUP([1]DATA!W284,'[1]DATA Engine'!$A$3:$H$800,2,FALSE))</f>
        <v/>
      </c>
      <c r="C293" s="19" t="str">
        <f>IFERROR(VLOOKUP([1]DATA!W284,'[1]DATA Engine'!$A$3:$H$800,3,FALSE),"")</f>
        <v/>
      </c>
      <c r="D293" s="20" t="str">
        <f>IFERROR(VLOOKUP([1]DATA!W284,'[1]DATA Engine'!$A$3:$H$800,4,FALSE),"")</f>
        <v/>
      </c>
      <c r="E293" s="20" t="str">
        <f>IFERROR(VLOOKUP([1]DATA!W284,'[1]DATA Engine'!$A$3:$H$800,5,FALSE),"")</f>
        <v/>
      </c>
      <c r="F293" s="18" t="str">
        <f>IFERROR(VLOOKUP([1]DATA!W284,'[1]DATA Engine'!$A$3:$H$800,6,FALSE),"")</f>
        <v/>
      </c>
      <c r="G293" s="18" t="str">
        <f>IFERROR(VLOOKUP([1]DATA!W284,'[1]DATA Engine'!$A$3:$H$800,7,FALSE),"")</f>
        <v/>
      </c>
      <c r="H293" s="18" t="str">
        <f>IFERROR(IF(ISNUMBER(SEARCH("GOW",VLOOKUP([1]DATA!W284,'[1]DATA Engine'!$A$3:$H$800,8,FALSE))),"GOW",""),"")</f>
        <v/>
      </c>
      <c r="I293" s="26"/>
      <c r="J293" s="24"/>
      <c r="K293" s="24"/>
      <c r="L293" s="24"/>
      <c r="M293" s="24"/>
      <c r="N293" s="24"/>
      <c r="O293" s="24"/>
      <c r="P293" s="25"/>
      <c r="Q293" s="1"/>
    </row>
    <row r="294" spans="2:17" ht="15">
      <c r="B294" s="18" t="str">
        <f>IF(C294="","",VLOOKUP([1]DATA!W285,'[1]DATA Engine'!$A$3:$H$800,2,FALSE))</f>
        <v/>
      </c>
      <c r="C294" s="19" t="str">
        <f>IFERROR(VLOOKUP([1]DATA!W285,'[1]DATA Engine'!$A$3:$H$800,3,FALSE),"")</f>
        <v/>
      </c>
      <c r="D294" s="20" t="str">
        <f>IFERROR(VLOOKUP([1]DATA!W285,'[1]DATA Engine'!$A$3:$H$800,4,FALSE),"")</f>
        <v/>
      </c>
      <c r="E294" s="20" t="str">
        <f>IFERROR(VLOOKUP([1]DATA!W285,'[1]DATA Engine'!$A$3:$H$800,5,FALSE),"")</f>
        <v/>
      </c>
      <c r="F294" s="18" t="str">
        <f>IFERROR(VLOOKUP([1]DATA!W285,'[1]DATA Engine'!$A$3:$H$800,6,FALSE),"")</f>
        <v/>
      </c>
      <c r="G294" s="18" t="str">
        <f>IFERROR(VLOOKUP([1]DATA!W285,'[1]DATA Engine'!$A$3:$H$800,7,FALSE),"")</f>
        <v/>
      </c>
      <c r="H294" s="18" t="str">
        <f>IFERROR(IF(ISNUMBER(SEARCH("GOW",VLOOKUP([1]DATA!W285,'[1]DATA Engine'!$A$3:$H$800,8,FALSE))),"GOW",""),"")</f>
        <v/>
      </c>
      <c r="I294" s="26"/>
      <c r="J294" s="24"/>
      <c r="K294" s="24"/>
      <c r="L294" s="24"/>
      <c r="M294" s="24"/>
      <c r="N294" s="24"/>
      <c r="O294" s="24"/>
      <c r="P294" s="25"/>
      <c r="Q294" s="1"/>
    </row>
    <row r="295" spans="2:17" ht="15">
      <c r="B295" s="18" t="str">
        <f>IF(C295="","",VLOOKUP([1]DATA!W286,'[1]DATA Engine'!$A$3:$H$800,2,FALSE))</f>
        <v/>
      </c>
      <c r="C295" s="19" t="str">
        <f>IFERROR(VLOOKUP([1]DATA!W286,'[1]DATA Engine'!$A$3:$H$800,3,FALSE),"")</f>
        <v/>
      </c>
      <c r="D295" s="20" t="str">
        <f>IFERROR(VLOOKUP([1]DATA!W286,'[1]DATA Engine'!$A$3:$H$800,4,FALSE),"")</f>
        <v/>
      </c>
      <c r="E295" s="20" t="str">
        <f>IFERROR(VLOOKUP([1]DATA!W286,'[1]DATA Engine'!$A$3:$H$800,5,FALSE),"")</f>
        <v/>
      </c>
      <c r="F295" s="18" t="str">
        <f>IFERROR(VLOOKUP([1]DATA!W286,'[1]DATA Engine'!$A$3:$H$800,6,FALSE),"")</f>
        <v/>
      </c>
      <c r="G295" s="18" t="str">
        <f>IFERROR(VLOOKUP([1]DATA!W286,'[1]DATA Engine'!$A$3:$H$800,7,FALSE),"")</f>
        <v/>
      </c>
      <c r="H295" s="18" t="str">
        <f>IFERROR(IF(ISNUMBER(SEARCH("GOW",VLOOKUP([1]DATA!W286,'[1]DATA Engine'!$A$3:$H$800,8,FALSE))),"GOW",""),"")</f>
        <v/>
      </c>
      <c r="I295" s="26"/>
      <c r="J295" s="24"/>
      <c r="K295" s="24"/>
      <c r="L295" s="24"/>
      <c r="M295" s="24"/>
      <c r="N295" s="24"/>
      <c r="O295" s="24"/>
      <c r="P295" s="25"/>
      <c r="Q295" s="1"/>
    </row>
    <row r="296" spans="2:17" ht="15">
      <c r="B296" s="18" t="str">
        <f>IF(C296="","",VLOOKUP([1]DATA!W287,'[1]DATA Engine'!$A$3:$H$800,2,FALSE))</f>
        <v/>
      </c>
      <c r="C296" s="19" t="str">
        <f>IFERROR(VLOOKUP([1]DATA!W287,'[1]DATA Engine'!$A$3:$H$800,3,FALSE),"")</f>
        <v/>
      </c>
      <c r="D296" s="20" t="str">
        <f>IFERROR(VLOOKUP([1]DATA!W287,'[1]DATA Engine'!$A$3:$H$800,4,FALSE),"")</f>
        <v/>
      </c>
      <c r="E296" s="20" t="str">
        <f>IFERROR(VLOOKUP([1]DATA!W287,'[1]DATA Engine'!$A$3:$H$800,5,FALSE),"")</f>
        <v/>
      </c>
      <c r="F296" s="18" t="str">
        <f>IFERROR(VLOOKUP([1]DATA!W287,'[1]DATA Engine'!$A$3:$H$800,6,FALSE),"")</f>
        <v/>
      </c>
      <c r="G296" s="18" t="str">
        <f>IFERROR(VLOOKUP([1]DATA!W287,'[1]DATA Engine'!$A$3:$H$800,7,FALSE),"")</f>
        <v/>
      </c>
      <c r="H296" s="18" t="str">
        <f>IFERROR(IF(ISNUMBER(SEARCH("GOW",VLOOKUP([1]DATA!W287,'[1]DATA Engine'!$A$3:$H$800,8,FALSE))),"GOW",""),"")</f>
        <v/>
      </c>
      <c r="I296" s="26"/>
      <c r="J296" s="24"/>
      <c r="K296" s="24"/>
      <c r="L296" s="24"/>
      <c r="M296" s="24"/>
      <c r="N296" s="24"/>
      <c r="O296" s="24"/>
      <c r="P296" s="25"/>
      <c r="Q296" s="1"/>
    </row>
    <row r="297" spans="2:17" ht="15">
      <c r="B297" s="18" t="str">
        <f>IF(C297="","",VLOOKUP([1]DATA!W288,'[1]DATA Engine'!$A$3:$H$800,2,FALSE))</f>
        <v/>
      </c>
      <c r="C297" s="19" t="str">
        <f>IFERROR(VLOOKUP([1]DATA!W288,'[1]DATA Engine'!$A$3:$H$800,3,FALSE),"")</f>
        <v/>
      </c>
      <c r="D297" s="20" t="str">
        <f>IFERROR(VLOOKUP([1]DATA!W288,'[1]DATA Engine'!$A$3:$H$800,4,FALSE),"")</f>
        <v/>
      </c>
      <c r="E297" s="20" t="str">
        <f>IFERROR(VLOOKUP([1]DATA!W288,'[1]DATA Engine'!$A$3:$H$800,5,FALSE),"")</f>
        <v/>
      </c>
      <c r="F297" s="18" t="str">
        <f>IFERROR(VLOOKUP([1]DATA!W288,'[1]DATA Engine'!$A$3:$H$800,6,FALSE),"")</f>
        <v/>
      </c>
      <c r="G297" s="18" t="str">
        <f>IFERROR(VLOOKUP([1]DATA!W288,'[1]DATA Engine'!$A$3:$H$800,7,FALSE),"")</f>
        <v/>
      </c>
      <c r="H297" s="18" t="str">
        <f>IFERROR(IF(ISNUMBER(SEARCH("GOW",VLOOKUP([1]DATA!W288,'[1]DATA Engine'!$A$3:$H$800,8,FALSE))),"GOW",""),"")</f>
        <v/>
      </c>
      <c r="I297" s="26"/>
      <c r="J297" s="24"/>
      <c r="K297" s="24"/>
      <c r="L297" s="24"/>
      <c r="M297" s="24"/>
      <c r="N297" s="24"/>
      <c r="O297" s="24"/>
      <c r="P297" s="25"/>
      <c r="Q297" s="1"/>
    </row>
    <row r="298" spans="2:17" ht="15">
      <c r="B298" s="18" t="str">
        <f>IF(C298="","",VLOOKUP([1]DATA!W289,'[1]DATA Engine'!$A$3:$H$800,2,FALSE))</f>
        <v/>
      </c>
      <c r="C298" s="19" t="str">
        <f>IFERROR(VLOOKUP([1]DATA!W289,'[1]DATA Engine'!$A$3:$H$800,3,FALSE),"")</f>
        <v/>
      </c>
      <c r="D298" s="20" t="str">
        <f>IFERROR(VLOOKUP([1]DATA!W289,'[1]DATA Engine'!$A$3:$H$800,4,FALSE),"")</f>
        <v/>
      </c>
      <c r="E298" s="20" t="str">
        <f>IFERROR(VLOOKUP([1]DATA!W289,'[1]DATA Engine'!$A$3:$H$800,5,FALSE),"")</f>
        <v/>
      </c>
      <c r="F298" s="18" t="str">
        <f>IFERROR(VLOOKUP([1]DATA!W289,'[1]DATA Engine'!$A$3:$H$800,6,FALSE),"")</f>
        <v/>
      </c>
      <c r="G298" s="18" t="str">
        <f>IFERROR(VLOOKUP([1]DATA!W289,'[1]DATA Engine'!$A$3:$H$800,7,FALSE),"")</f>
        <v/>
      </c>
      <c r="H298" s="18" t="str">
        <f>IFERROR(IF(ISNUMBER(SEARCH("GOW",VLOOKUP([1]DATA!W289,'[1]DATA Engine'!$A$3:$H$800,8,FALSE))),"GOW",""),"")</f>
        <v/>
      </c>
      <c r="I298" s="26"/>
      <c r="J298" s="24"/>
      <c r="K298" s="24"/>
      <c r="L298" s="24"/>
      <c r="M298" s="24"/>
      <c r="N298" s="24"/>
      <c r="O298" s="24"/>
      <c r="P298" s="25"/>
      <c r="Q298" s="1"/>
    </row>
    <row r="299" spans="2:17" ht="15">
      <c r="B299" s="18" t="str">
        <f>IF(C299="","",VLOOKUP([1]DATA!W290,'[1]DATA Engine'!$A$3:$H$800,2,FALSE))</f>
        <v/>
      </c>
      <c r="C299" s="19" t="str">
        <f>IFERROR(VLOOKUP([1]DATA!W290,'[1]DATA Engine'!$A$3:$H$800,3,FALSE),"")</f>
        <v/>
      </c>
      <c r="D299" s="20" t="str">
        <f>IFERROR(VLOOKUP([1]DATA!W290,'[1]DATA Engine'!$A$3:$H$800,4,FALSE),"")</f>
        <v/>
      </c>
      <c r="E299" s="20" t="str">
        <f>IFERROR(VLOOKUP([1]DATA!W290,'[1]DATA Engine'!$A$3:$H$800,5,FALSE),"")</f>
        <v/>
      </c>
      <c r="F299" s="18" t="str">
        <f>IFERROR(VLOOKUP([1]DATA!W290,'[1]DATA Engine'!$A$3:$H$800,6,FALSE),"")</f>
        <v/>
      </c>
      <c r="G299" s="18" t="str">
        <f>IFERROR(VLOOKUP([1]DATA!W290,'[1]DATA Engine'!$A$3:$H$800,7,FALSE),"")</f>
        <v/>
      </c>
      <c r="H299" s="18" t="str">
        <f>IFERROR(IF(ISNUMBER(SEARCH("GOW",VLOOKUP([1]DATA!W290,'[1]DATA Engine'!$A$3:$H$800,8,FALSE))),"GOW",""),"")</f>
        <v/>
      </c>
      <c r="I299" s="26"/>
      <c r="J299" s="24"/>
      <c r="K299" s="24"/>
      <c r="L299" s="24"/>
      <c r="M299" s="24"/>
      <c r="N299" s="24"/>
      <c r="O299" s="24"/>
      <c r="P299" s="25"/>
      <c r="Q299" s="1"/>
    </row>
    <row r="300" spans="2:17" ht="15">
      <c r="B300" s="18" t="str">
        <f>IF(C300="","",VLOOKUP([1]DATA!W291,'[1]DATA Engine'!$A$3:$H$800,2,FALSE))</f>
        <v/>
      </c>
      <c r="C300" s="19" t="str">
        <f>IFERROR(VLOOKUP([1]DATA!W291,'[1]DATA Engine'!$A$3:$H$800,3,FALSE),"")</f>
        <v/>
      </c>
      <c r="D300" s="20" t="str">
        <f>IFERROR(VLOOKUP([1]DATA!W291,'[1]DATA Engine'!$A$3:$H$800,4,FALSE),"")</f>
        <v/>
      </c>
      <c r="E300" s="20" t="str">
        <f>IFERROR(VLOOKUP([1]DATA!W291,'[1]DATA Engine'!$A$3:$H$800,5,FALSE),"")</f>
        <v/>
      </c>
      <c r="F300" s="18" t="str">
        <f>IFERROR(VLOOKUP([1]DATA!W291,'[1]DATA Engine'!$A$3:$H$800,6,FALSE),"")</f>
        <v/>
      </c>
      <c r="G300" s="18" t="str">
        <f>IFERROR(VLOOKUP([1]DATA!W291,'[1]DATA Engine'!$A$3:$H$800,7,FALSE),"")</f>
        <v/>
      </c>
      <c r="H300" s="18" t="str">
        <f>IFERROR(IF(ISNUMBER(SEARCH("GOW",VLOOKUP([1]DATA!W291,'[1]DATA Engine'!$A$3:$H$800,8,FALSE))),"GOW",""),"")</f>
        <v/>
      </c>
      <c r="I300" s="26"/>
      <c r="J300" s="24"/>
      <c r="K300" s="24"/>
      <c r="L300" s="24"/>
      <c r="M300" s="24"/>
      <c r="N300" s="24"/>
      <c r="O300" s="24"/>
      <c r="P300" s="25"/>
      <c r="Q300" s="1"/>
    </row>
    <row r="301" spans="2:17" ht="15">
      <c r="B301" s="18" t="str">
        <f>IF(C301="","",VLOOKUP([1]DATA!W292,'[1]DATA Engine'!$A$3:$H$800,2,FALSE))</f>
        <v/>
      </c>
      <c r="C301" s="19" t="str">
        <f>IFERROR(VLOOKUP([1]DATA!W292,'[1]DATA Engine'!$A$3:$H$800,3,FALSE),"")</f>
        <v/>
      </c>
      <c r="D301" s="20" t="str">
        <f>IFERROR(VLOOKUP([1]DATA!W292,'[1]DATA Engine'!$A$3:$H$800,4,FALSE),"")</f>
        <v/>
      </c>
      <c r="E301" s="20" t="str">
        <f>IFERROR(VLOOKUP([1]DATA!W292,'[1]DATA Engine'!$A$3:$H$800,5,FALSE),"")</f>
        <v/>
      </c>
      <c r="F301" s="18" t="str">
        <f>IFERROR(VLOOKUP([1]DATA!W292,'[1]DATA Engine'!$A$3:$H$800,6,FALSE),"")</f>
        <v/>
      </c>
      <c r="G301" s="18" t="str">
        <f>IFERROR(VLOOKUP([1]DATA!W292,'[1]DATA Engine'!$A$3:$H$800,7,FALSE),"")</f>
        <v/>
      </c>
      <c r="H301" s="18" t="str">
        <f>IFERROR(IF(ISNUMBER(SEARCH("GOW",VLOOKUP([1]DATA!W292,'[1]DATA Engine'!$A$3:$H$800,8,FALSE))),"GOW",""),"")</f>
        <v/>
      </c>
      <c r="I301" s="26"/>
      <c r="J301" s="24"/>
      <c r="K301" s="24"/>
      <c r="L301" s="24"/>
      <c r="M301" s="24"/>
      <c r="N301" s="24"/>
      <c r="O301" s="24"/>
      <c r="P301" s="25"/>
      <c r="Q301" s="1"/>
    </row>
    <row r="302" spans="2:17" ht="15">
      <c r="B302" s="18" t="str">
        <f>IF(C302="","",VLOOKUP([1]DATA!W293,'[1]DATA Engine'!$A$3:$H$800,2,FALSE))</f>
        <v/>
      </c>
      <c r="C302" s="19" t="str">
        <f>IFERROR(VLOOKUP([1]DATA!W293,'[1]DATA Engine'!$A$3:$H$800,3,FALSE),"")</f>
        <v/>
      </c>
      <c r="D302" s="20" t="str">
        <f>IFERROR(VLOOKUP([1]DATA!W293,'[1]DATA Engine'!$A$3:$H$800,4,FALSE),"")</f>
        <v/>
      </c>
      <c r="E302" s="20" t="str">
        <f>IFERROR(VLOOKUP([1]DATA!W293,'[1]DATA Engine'!$A$3:$H$800,5,FALSE),"")</f>
        <v/>
      </c>
      <c r="F302" s="18" t="str">
        <f>IFERROR(VLOOKUP([1]DATA!W293,'[1]DATA Engine'!$A$3:$H$800,6,FALSE),"")</f>
        <v/>
      </c>
      <c r="G302" s="18" t="str">
        <f>IFERROR(VLOOKUP([1]DATA!W293,'[1]DATA Engine'!$A$3:$H$800,7,FALSE),"")</f>
        <v/>
      </c>
      <c r="H302" s="18" t="str">
        <f>IFERROR(IF(ISNUMBER(SEARCH("GOW",VLOOKUP([1]DATA!W293,'[1]DATA Engine'!$A$3:$H$800,8,FALSE))),"GOW",""),"")</f>
        <v/>
      </c>
      <c r="I302" s="26"/>
      <c r="J302" s="24"/>
      <c r="K302" s="24"/>
      <c r="L302" s="24"/>
      <c r="M302" s="24"/>
      <c r="N302" s="24"/>
      <c r="O302" s="24"/>
      <c r="P302" s="25"/>
      <c r="Q302" s="1"/>
    </row>
    <row r="303" spans="2:17" ht="15">
      <c r="B303" s="18" t="str">
        <f>IF(C303="","",VLOOKUP([1]DATA!W294,'[1]DATA Engine'!$A$3:$H$800,2,FALSE))</f>
        <v/>
      </c>
      <c r="C303" s="19" t="str">
        <f>IFERROR(VLOOKUP([1]DATA!W294,'[1]DATA Engine'!$A$3:$H$800,3,FALSE),"")</f>
        <v/>
      </c>
      <c r="D303" s="20" t="str">
        <f>IFERROR(VLOOKUP([1]DATA!W294,'[1]DATA Engine'!$A$3:$H$800,4,FALSE),"")</f>
        <v/>
      </c>
      <c r="E303" s="20" t="str">
        <f>IFERROR(VLOOKUP([1]DATA!W294,'[1]DATA Engine'!$A$3:$H$800,5,FALSE),"")</f>
        <v/>
      </c>
      <c r="F303" s="18" t="str">
        <f>IFERROR(VLOOKUP([1]DATA!W294,'[1]DATA Engine'!$A$3:$H$800,6,FALSE),"")</f>
        <v/>
      </c>
      <c r="G303" s="18" t="str">
        <f>IFERROR(VLOOKUP([1]DATA!W294,'[1]DATA Engine'!$A$3:$H$800,7,FALSE),"")</f>
        <v/>
      </c>
      <c r="H303" s="18" t="str">
        <f>IFERROR(IF(ISNUMBER(SEARCH("GOW",VLOOKUP([1]DATA!W294,'[1]DATA Engine'!$A$3:$H$800,8,FALSE))),"GOW",""),"")</f>
        <v/>
      </c>
      <c r="I303" s="26"/>
      <c r="J303" s="24"/>
      <c r="K303" s="24"/>
      <c r="L303" s="24"/>
      <c r="M303" s="24"/>
      <c r="N303" s="24"/>
      <c r="O303" s="24"/>
      <c r="P303" s="25"/>
      <c r="Q303" s="1"/>
    </row>
    <row r="304" spans="2:17" ht="15">
      <c r="B304" s="18" t="str">
        <f>IF(C304="","",VLOOKUP([1]DATA!W295,'[1]DATA Engine'!$A$3:$H$800,2,FALSE))</f>
        <v/>
      </c>
      <c r="C304" s="19" t="str">
        <f>IFERROR(VLOOKUP([1]DATA!W295,'[1]DATA Engine'!$A$3:$H$800,3,FALSE),"")</f>
        <v/>
      </c>
      <c r="D304" s="20" t="str">
        <f>IFERROR(VLOOKUP([1]DATA!W295,'[1]DATA Engine'!$A$3:$H$800,4,FALSE),"")</f>
        <v/>
      </c>
      <c r="E304" s="20" t="str">
        <f>IFERROR(VLOOKUP([1]DATA!W295,'[1]DATA Engine'!$A$3:$H$800,5,FALSE),"")</f>
        <v/>
      </c>
      <c r="F304" s="18" t="str">
        <f>IFERROR(VLOOKUP([1]DATA!W295,'[1]DATA Engine'!$A$3:$H$800,6,FALSE),"")</f>
        <v/>
      </c>
      <c r="G304" s="18" t="str">
        <f>IFERROR(VLOOKUP([1]DATA!W295,'[1]DATA Engine'!$A$3:$H$800,7,FALSE),"")</f>
        <v/>
      </c>
      <c r="H304" s="18" t="str">
        <f>IFERROR(IF(ISNUMBER(SEARCH("GOW",VLOOKUP([1]DATA!W295,'[1]DATA Engine'!$A$3:$H$800,8,FALSE))),"GOW",""),"")</f>
        <v/>
      </c>
      <c r="I304" s="26"/>
      <c r="J304" s="24"/>
      <c r="K304" s="24"/>
      <c r="L304" s="24"/>
      <c r="M304" s="24"/>
      <c r="N304" s="24"/>
      <c r="O304" s="24"/>
      <c r="P304" s="25"/>
      <c r="Q304" s="1"/>
    </row>
    <row r="305" spans="2:17" ht="15">
      <c r="B305" s="18" t="str">
        <f>IF(C305="","",VLOOKUP([1]DATA!W296,'[1]DATA Engine'!$A$3:$H$800,2,FALSE))</f>
        <v/>
      </c>
      <c r="C305" s="19" t="str">
        <f>IFERROR(VLOOKUP([1]DATA!W296,'[1]DATA Engine'!$A$3:$H$800,3,FALSE),"")</f>
        <v/>
      </c>
      <c r="D305" s="20" t="str">
        <f>IFERROR(VLOOKUP([1]DATA!W296,'[1]DATA Engine'!$A$3:$H$800,4,FALSE),"")</f>
        <v/>
      </c>
      <c r="E305" s="20" t="str">
        <f>IFERROR(VLOOKUP([1]DATA!W296,'[1]DATA Engine'!$A$3:$H$800,5,FALSE),"")</f>
        <v/>
      </c>
      <c r="F305" s="18" t="str">
        <f>IFERROR(VLOOKUP([1]DATA!W296,'[1]DATA Engine'!$A$3:$H$800,6,FALSE),"")</f>
        <v/>
      </c>
      <c r="G305" s="18" t="str">
        <f>IFERROR(VLOOKUP([1]DATA!W296,'[1]DATA Engine'!$A$3:$H$800,7,FALSE),"")</f>
        <v/>
      </c>
      <c r="H305" s="18" t="str">
        <f>IFERROR(IF(ISNUMBER(SEARCH("GOW",VLOOKUP([1]DATA!W296,'[1]DATA Engine'!$A$3:$H$800,8,FALSE))),"GOW",""),"")</f>
        <v/>
      </c>
      <c r="I305" s="26"/>
      <c r="J305" s="24"/>
      <c r="K305" s="24"/>
      <c r="L305" s="24"/>
      <c r="M305" s="24"/>
      <c r="N305" s="24"/>
      <c r="O305" s="24"/>
      <c r="P305" s="25"/>
      <c r="Q305" s="1"/>
    </row>
    <row r="306" spans="2:17" ht="15">
      <c r="B306" s="18" t="str">
        <f>IF(C306="","",VLOOKUP([1]DATA!W297,'[1]DATA Engine'!$A$3:$H$800,2,FALSE))</f>
        <v/>
      </c>
      <c r="C306" s="19" t="str">
        <f>IFERROR(VLOOKUP([1]DATA!W297,'[1]DATA Engine'!$A$3:$H$800,3,FALSE),"")</f>
        <v/>
      </c>
      <c r="D306" s="20" t="str">
        <f>IFERROR(VLOOKUP([1]DATA!W297,'[1]DATA Engine'!$A$3:$H$800,4,FALSE),"")</f>
        <v/>
      </c>
      <c r="E306" s="20" t="str">
        <f>IFERROR(VLOOKUP([1]DATA!W297,'[1]DATA Engine'!$A$3:$H$800,5,FALSE),"")</f>
        <v/>
      </c>
      <c r="F306" s="18" t="str">
        <f>IFERROR(VLOOKUP([1]DATA!W297,'[1]DATA Engine'!$A$3:$H$800,6,FALSE),"")</f>
        <v/>
      </c>
      <c r="G306" s="18" t="str">
        <f>IFERROR(VLOOKUP([1]DATA!W297,'[1]DATA Engine'!$A$3:$H$800,7,FALSE),"")</f>
        <v/>
      </c>
      <c r="H306" s="18" t="str">
        <f>IFERROR(IF(ISNUMBER(SEARCH("GOW",VLOOKUP([1]DATA!W297,'[1]DATA Engine'!$A$3:$H$800,8,FALSE))),"GOW",""),"")</f>
        <v/>
      </c>
      <c r="I306" s="26"/>
      <c r="J306" s="24"/>
      <c r="K306" s="24"/>
      <c r="L306" s="24"/>
      <c r="M306" s="24"/>
      <c r="N306" s="24"/>
      <c r="O306" s="24"/>
      <c r="P306" s="25"/>
      <c r="Q306" s="1"/>
    </row>
    <row r="307" spans="2:17" ht="15">
      <c r="B307" s="18" t="str">
        <f>IF(C307="","",VLOOKUP([1]DATA!W298,'[1]DATA Engine'!$A$3:$H$800,2,FALSE))</f>
        <v/>
      </c>
      <c r="C307" s="19" t="str">
        <f>IFERROR(VLOOKUP([1]DATA!W298,'[1]DATA Engine'!$A$3:$H$800,3,FALSE),"")</f>
        <v/>
      </c>
      <c r="D307" s="20" t="str">
        <f>IFERROR(VLOOKUP([1]DATA!W298,'[1]DATA Engine'!$A$3:$H$800,4,FALSE),"")</f>
        <v/>
      </c>
      <c r="E307" s="20" t="str">
        <f>IFERROR(VLOOKUP([1]DATA!W298,'[1]DATA Engine'!$A$3:$H$800,5,FALSE),"")</f>
        <v/>
      </c>
      <c r="F307" s="18" t="str">
        <f>IFERROR(VLOOKUP([1]DATA!W298,'[1]DATA Engine'!$A$3:$H$800,6,FALSE),"")</f>
        <v/>
      </c>
      <c r="G307" s="18" t="str">
        <f>IFERROR(VLOOKUP([1]DATA!W298,'[1]DATA Engine'!$A$3:$H$800,7,FALSE),"")</f>
        <v/>
      </c>
      <c r="H307" s="18" t="str">
        <f>IFERROR(IF(ISNUMBER(SEARCH("GOW",VLOOKUP([1]DATA!W298,'[1]DATA Engine'!$A$3:$H$800,8,FALSE))),"GOW",""),"")</f>
        <v/>
      </c>
      <c r="I307" s="26"/>
      <c r="J307" s="24"/>
      <c r="K307" s="24"/>
      <c r="L307" s="24"/>
      <c r="M307" s="24"/>
      <c r="N307" s="24"/>
      <c r="O307" s="24"/>
      <c r="P307" s="25"/>
      <c r="Q307" s="1"/>
    </row>
    <row r="308" spans="2:17" ht="15">
      <c r="B308" s="18" t="str">
        <f>IF(C308="","",VLOOKUP([1]DATA!W299,'[1]DATA Engine'!$A$3:$H$800,2,FALSE))</f>
        <v/>
      </c>
      <c r="C308" s="19" t="str">
        <f>IFERROR(VLOOKUP([1]DATA!W299,'[1]DATA Engine'!$A$3:$H$800,3,FALSE),"")</f>
        <v/>
      </c>
      <c r="D308" s="20" t="str">
        <f>IFERROR(VLOOKUP([1]DATA!W299,'[1]DATA Engine'!$A$3:$H$800,4,FALSE),"")</f>
        <v/>
      </c>
      <c r="E308" s="20" t="str">
        <f>IFERROR(VLOOKUP([1]DATA!W299,'[1]DATA Engine'!$A$3:$H$800,5,FALSE),"")</f>
        <v/>
      </c>
      <c r="F308" s="18" t="str">
        <f>IFERROR(VLOOKUP([1]DATA!W299,'[1]DATA Engine'!$A$3:$H$800,6,FALSE),"")</f>
        <v/>
      </c>
      <c r="G308" s="18" t="str">
        <f>IFERROR(VLOOKUP([1]DATA!W299,'[1]DATA Engine'!$A$3:$H$800,7,FALSE),"")</f>
        <v/>
      </c>
      <c r="H308" s="18" t="str">
        <f>IFERROR(IF(ISNUMBER(SEARCH("GOW",VLOOKUP([1]DATA!W299,'[1]DATA Engine'!$A$3:$H$800,8,FALSE))),"GOW",""),"")</f>
        <v/>
      </c>
      <c r="I308" s="26"/>
      <c r="J308" s="24"/>
      <c r="K308" s="24"/>
      <c r="L308" s="24"/>
      <c r="M308" s="24"/>
      <c r="N308" s="24"/>
      <c r="O308" s="24"/>
      <c r="P308" s="25"/>
      <c r="Q308" s="1"/>
    </row>
    <row r="309" spans="2:17" ht="15">
      <c r="B309" s="18" t="str">
        <f>IF(C309="","",VLOOKUP([1]DATA!W300,'[1]DATA Engine'!$A$3:$H$800,2,FALSE))</f>
        <v/>
      </c>
      <c r="C309" s="19" t="str">
        <f>IFERROR(VLOOKUP([1]DATA!W300,'[1]DATA Engine'!$A$3:$H$800,3,FALSE),"")</f>
        <v/>
      </c>
      <c r="D309" s="20" t="str">
        <f>IFERROR(VLOOKUP([1]DATA!W300,'[1]DATA Engine'!$A$3:$H$800,4,FALSE),"")</f>
        <v/>
      </c>
      <c r="E309" s="20" t="str">
        <f>IFERROR(VLOOKUP([1]DATA!W300,'[1]DATA Engine'!$A$3:$H$800,5,FALSE),"")</f>
        <v/>
      </c>
      <c r="F309" s="18" t="str">
        <f>IFERROR(VLOOKUP([1]DATA!W300,'[1]DATA Engine'!$A$3:$H$800,6,FALSE),"")</f>
        <v/>
      </c>
      <c r="G309" s="18" t="str">
        <f>IFERROR(VLOOKUP([1]DATA!W300,'[1]DATA Engine'!$A$3:$H$800,7,FALSE),"")</f>
        <v/>
      </c>
      <c r="H309" s="18" t="str">
        <f>IFERROR(IF(ISNUMBER(SEARCH("GOW",VLOOKUP([1]DATA!W300,'[1]DATA Engine'!$A$3:$H$800,8,FALSE))),"GOW",""),"")</f>
        <v/>
      </c>
      <c r="I309" s="26"/>
      <c r="J309" s="24"/>
      <c r="K309" s="24"/>
      <c r="L309" s="24"/>
      <c r="M309" s="24"/>
      <c r="N309" s="24"/>
      <c r="O309" s="24"/>
      <c r="P309" s="25"/>
      <c r="Q309" s="1"/>
    </row>
    <row r="310" spans="2:17" ht="15">
      <c r="B310" s="18" t="str">
        <f>IF(C310="","",VLOOKUP([1]DATA!W301,'[1]DATA Engine'!$A$3:$H$800,2,FALSE))</f>
        <v/>
      </c>
      <c r="C310" s="19" t="str">
        <f>IFERROR(VLOOKUP([1]DATA!W301,'[1]DATA Engine'!$A$3:$H$800,3,FALSE),"")</f>
        <v/>
      </c>
      <c r="D310" s="20" t="str">
        <f>IFERROR(VLOOKUP([1]DATA!W301,'[1]DATA Engine'!$A$3:$H$800,4,FALSE),"")</f>
        <v/>
      </c>
      <c r="E310" s="20" t="str">
        <f>IFERROR(VLOOKUP([1]DATA!W301,'[1]DATA Engine'!$A$3:$H$800,5,FALSE),"")</f>
        <v/>
      </c>
      <c r="F310" s="18" t="str">
        <f>IFERROR(VLOOKUP([1]DATA!W301,'[1]DATA Engine'!$A$3:$H$800,6,FALSE),"")</f>
        <v/>
      </c>
      <c r="G310" s="18" t="str">
        <f>IFERROR(VLOOKUP([1]DATA!W301,'[1]DATA Engine'!$A$3:$H$800,7,FALSE),"")</f>
        <v/>
      </c>
      <c r="H310" s="18" t="str">
        <f>IFERROR(IF(ISNUMBER(SEARCH("GOW",VLOOKUP([1]DATA!W301,'[1]DATA Engine'!$A$3:$H$800,8,FALSE))),"GOW",""),"")</f>
        <v/>
      </c>
      <c r="I310" s="26"/>
      <c r="J310" s="24"/>
      <c r="K310" s="24"/>
      <c r="L310" s="24"/>
      <c r="M310" s="24"/>
      <c r="N310" s="24"/>
      <c r="O310" s="24"/>
      <c r="P310" s="25"/>
      <c r="Q310" s="1"/>
    </row>
    <row r="311" spans="2:17" ht="15">
      <c r="B311" s="18" t="str">
        <f>IF(C311="","",VLOOKUP([1]DATA!W302,'[1]DATA Engine'!$A$3:$H$800,2,FALSE))</f>
        <v/>
      </c>
      <c r="C311" s="19" t="str">
        <f>IFERROR(VLOOKUP([1]DATA!W302,'[1]DATA Engine'!$A$3:$H$800,3,FALSE),"")</f>
        <v/>
      </c>
      <c r="D311" s="20" t="str">
        <f>IFERROR(VLOOKUP([1]DATA!W302,'[1]DATA Engine'!$A$3:$H$800,4,FALSE),"")</f>
        <v/>
      </c>
      <c r="E311" s="20" t="str">
        <f>IFERROR(VLOOKUP([1]DATA!W302,'[1]DATA Engine'!$A$3:$H$800,5,FALSE),"")</f>
        <v/>
      </c>
      <c r="F311" s="18" t="str">
        <f>IFERROR(VLOOKUP([1]DATA!W302,'[1]DATA Engine'!$A$3:$H$800,6,FALSE),"")</f>
        <v/>
      </c>
      <c r="G311" s="18" t="str">
        <f>IFERROR(VLOOKUP([1]DATA!W302,'[1]DATA Engine'!$A$3:$H$800,7,FALSE),"")</f>
        <v/>
      </c>
      <c r="H311" s="18" t="str">
        <f>IFERROR(IF(ISNUMBER(SEARCH("GOW",VLOOKUP([1]DATA!W302,'[1]DATA Engine'!$A$3:$H$800,8,FALSE))),"GOW",""),"")</f>
        <v/>
      </c>
      <c r="I311" s="26"/>
      <c r="J311" s="24"/>
      <c r="K311" s="24"/>
      <c r="L311" s="24"/>
      <c r="M311" s="24"/>
      <c r="N311" s="24"/>
      <c r="O311" s="24"/>
      <c r="P311" s="25"/>
      <c r="Q311" s="1"/>
    </row>
    <row r="312" spans="2:17" ht="15">
      <c r="B312" s="18" t="str">
        <f>IF(C312="","",VLOOKUP([1]DATA!W303,'[1]DATA Engine'!$A$3:$H$800,2,FALSE))</f>
        <v/>
      </c>
      <c r="C312" s="19" t="str">
        <f>IFERROR(VLOOKUP([1]DATA!W303,'[1]DATA Engine'!$A$3:$H$800,3,FALSE),"")</f>
        <v/>
      </c>
      <c r="D312" s="20" t="str">
        <f>IFERROR(VLOOKUP([1]DATA!W303,'[1]DATA Engine'!$A$3:$H$800,4,FALSE),"")</f>
        <v/>
      </c>
      <c r="E312" s="20" t="str">
        <f>IFERROR(VLOOKUP([1]DATA!W303,'[1]DATA Engine'!$A$3:$H$800,5,FALSE),"")</f>
        <v/>
      </c>
      <c r="F312" s="18" t="str">
        <f>IFERROR(VLOOKUP([1]DATA!W303,'[1]DATA Engine'!$A$3:$H$800,6,FALSE),"")</f>
        <v/>
      </c>
      <c r="G312" s="18" t="str">
        <f>IFERROR(VLOOKUP([1]DATA!W303,'[1]DATA Engine'!$A$3:$H$800,7,FALSE),"")</f>
        <v/>
      </c>
      <c r="H312" s="18" t="str">
        <f>IFERROR(IF(ISNUMBER(SEARCH("GOW",VLOOKUP([1]DATA!W303,'[1]DATA Engine'!$A$3:$H$800,8,FALSE))),"GOW",""),"")</f>
        <v/>
      </c>
      <c r="I312" s="26"/>
      <c r="J312" s="24"/>
      <c r="K312" s="24"/>
      <c r="L312" s="24"/>
      <c r="M312" s="24"/>
      <c r="N312" s="24"/>
      <c r="O312" s="24"/>
      <c r="P312" s="25"/>
      <c r="Q312" s="1"/>
    </row>
    <row r="313" spans="2:17" ht="15">
      <c r="B313" s="18" t="str">
        <f>IF(C313="","",VLOOKUP([1]DATA!W304,'[1]DATA Engine'!$A$3:$H$800,2,FALSE))</f>
        <v/>
      </c>
      <c r="C313" s="19" t="str">
        <f>IFERROR(VLOOKUP([1]DATA!W304,'[1]DATA Engine'!$A$3:$H$800,3,FALSE),"")</f>
        <v/>
      </c>
      <c r="D313" s="20" t="str">
        <f>IFERROR(VLOOKUP([1]DATA!W304,'[1]DATA Engine'!$A$3:$H$800,4,FALSE),"")</f>
        <v/>
      </c>
      <c r="E313" s="20" t="str">
        <f>IFERROR(VLOOKUP([1]DATA!W304,'[1]DATA Engine'!$A$3:$H$800,5,FALSE),"")</f>
        <v/>
      </c>
      <c r="F313" s="18" t="str">
        <f>IFERROR(VLOOKUP([1]DATA!W304,'[1]DATA Engine'!$A$3:$H$800,6,FALSE),"")</f>
        <v/>
      </c>
      <c r="G313" s="18" t="str">
        <f>IFERROR(VLOOKUP([1]DATA!W304,'[1]DATA Engine'!$A$3:$H$800,7,FALSE),"")</f>
        <v/>
      </c>
      <c r="H313" s="18" t="str">
        <f>IFERROR(IF(ISNUMBER(SEARCH("GOW",VLOOKUP([1]DATA!W304,'[1]DATA Engine'!$A$3:$H$800,8,FALSE))),"GOW",""),"")</f>
        <v/>
      </c>
      <c r="I313" s="26"/>
      <c r="J313" s="24"/>
      <c r="K313" s="24"/>
      <c r="L313" s="24"/>
      <c r="M313" s="24"/>
      <c r="N313" s="24"/>
      <c r="O313" s="24"/>
      <c r="P313" s="25"/>
      <c r="Q313" s="1"/>
    </row>
    <row r="314" spans="2:17" ht="15">
      <c r="B314" s="18" t="str">
        <f>IF(C314="","",VLOOKUP([1]DATA!W305,'[1]DATA Engine'!$A$3:$H$800,2,FALSE))</f>
        <v/>
      </c>
      <c r="C314" s="19" t="str">
        <f>IFERROR(VLOOKUP([1]DATA!W305,'[1]DATA Engine'!$A$3:$H$800,3,FALSE),"")</f>
        <v/>
      </c>
      <c r="D314" s="20" t="str">
        <f>IFERROR(VLOOKUP([1]DATA!W305,'[1]DATA Engine'!$A$3:$H$800,4,FALSE),"")</f>
        <v/>
      </c>
      <c r="E314" s="20" t="str">
        <f>IFERROR(VLOOKUP([1]DATA!W305,'[1]DATA Engine'!$A$3:$H$800,5,FALSE),"")</f>
        <v/>
      </c>
      <c r="F314" s="18" t="str">
        <f>IFERROR(VLOOKUP([1]DATA!W305,'[1]DATA Engine'!$A$3:$H$800,6,FALSE),"")</f>
        <v/>
      </c>
      <c r="G314" s="18" t="str">
        <f>IFERROR(VLOOKUP([1]DATA!W305,'[1]DATA Engine'!$A$3:$H$800,7,FALSE),"")</f>
        <v/>
      </c>
      <c r="H314" s="18" t="str">
        <f>IFERROR(IF(ISNUMBER(SEARCH("GOW",VLOOKUP([1]DATA!W305,'[1]DATA Engine'!$A$3:$H$800,8,FALSE))),"GOW",""),"")</f>
        <v/>
      </c>
      <c r="I314" s="26"/>
      <c r="J314" s="24"/>
      <c r="K314" s="24"/>
      <c r="L314" s="24"/>
      <c r="M314" s="24"/>
      <c r="N314" s="24"/>
      <c r="O314" s="24"/>
      <c r="P314" s="25"/>
      <c r="Q314" s="1"/>
    </row>
    <row r="315" spans="2:17" ht="15">
      <c r="B315" s="18" t="str">
        <f>IF(C315="","",VLOOKUP([1]DATA!W306,'[1]DATA Engine'!$A$3:$H$800,2,FALSE))</f>
        <v/>
      </c>
      <c r="C315" s="19" t="str">
        <f>IFERROR(VLOOKUP([1]DATA!W306,'[1]DATA Engine'!$A$3:$H$800,3,FALSE),"")</f>
        <v/>
      </c>
      <c r="D315" s="20" t="str">
        <f>IFERROR(VLOOKUP([1]DATA!W306,'[1]DATA Engine'!$A$3:$H$800,4,FALSE),"")</f>
        <v/>
      </c>
      <c r="E315" s="20" t="str">
        <f>IFERROR(VLOOKUP([1]DATA!W306,'[1]DATA Engine'!$A$3:$H$800,5,FALSE),"")</f>
        <v/>
      </c>
      <c r="F315" s="18" t="str">
        <f>IFERROR(VLOOKUP([1]DATA!W306,'[1]DATA Engine'!$A$3:$H$800,6,FALSE),"")</f>
        <v/>
      </c>
      <c r="G315" s="18" t="str">
        <f>IFERROR(VLOOKUP([1]DATA!W306,'[1]DATA Engine'!$A$3:$H$800,7,FALSE),"")</f>
        <v/>
      </c>
      <c r="H315" s="18" t="str">
        <f>IFERROR(IF(ISNUMBER(SEARCH("GOW",VLOOKUP([1]DATA!W306,'[1]DATA Engine'!$A$3:$H$800,8,FALSE))),"GOW",""),"")</f>
        <v/>
      </c>
      <c r="I315" s="26"/>
      <c r="J315" s="24"/>
      <c r="K315" s="24"/>
      <c r="L315" s="24"/>
      <c r="M315" s="24"/>
      <c r="N315" s="24"/>
      <c r="O315" s="24"/>
      <c r="P315" s="25"/>
      <c r="Q315" s="1"/>
    </row>
    <row r="316" spans="2:17" ht="15">
      <c r="B316" s="18" t="str">
        <f>IF(C316="","",VLOOKUP([1]DATA!W307,'[1]DATA Engine'!$A$3:$H$800,2,FALSE))</f>
        <v/>
      </c>
      <c r="C316" s="19" t="str">
        <f>IFERROR(VLOOKUP([1]DATA!W307,'[1]DATA Engine'!$A$3:$H$800,3,FALSE),"")</f>
        <v/>
      </c>
      <c r="D316" s="20" t="str">
        <f>IFERROR(VLOOKUP([1]DATA!W307,'[1]DATA Engine'!$A$3:$H$800,4,FALSE),"")</f>
        <v/>
      </c>
      <c r="E316" s="20" t="str">
        <f>IFERROR(VLOOKUP([1]DATA!W307,'[1]DATA Engine'!$A$3:$H$800,5,FALSE),"")</f>
        <v/>
      </c>
      <c r="F316" s="18" t="str">
        <f>IFERROR(VLOOKUP([1]DATA!W307,'[1]DATA Engine'!$A$3:$H$800,6,FALSE),"")</f>
        <v/>
      </c>
      <c r="G316" s="18" t="str">
        <f>IFERROR(VLOOKUP([1]DATA!W307,'[1]DATA Engine'!$A$3:$H$800,7,FALSE),"")</f>
        <v/>
      </c>
      <c r="H316" s="18" t="str">
        <f>IFERROR(IF(ISNUMBER(SEARCH("GOW",VLOOKUP([1]DATA!W307,'[1]DATA Engine'!$A$3:$H$800,8,FALSE))),"GOW",""),"")</f>
        <v/>
      </c>
      <c r="I316" s="26"/>
      <c r="J316" s="24"/>
      <c r="K316" s="24"/>
      <c r="L316" s="24"/>
      <c r="M316" s="24"/>
      <c r="N316" s="24"/>
      <c r="O316" s="24"/>
      <c r="P316" s="25"/>
      <c r="Q316" s="1"/>
    </row>
    <row r="317" spans="2:17" ht="15">
      <c r="B317" s="18" t="str">
        <f>IF(C317="","",VLOOKUP([1]DATA!W308,'[1]DATA Engine'!$A$3:$H$800,2,FALSE))</f>
        <v/>
      </c>
      <c r="C317" s="19" t="str">
        <f>IFERROR(VLOOKUP([1]DATA!W308,'[1]DATA Engine'!$A$3:$H$800,3,FALSE),"")</f>
        <v/>
      </c>
      <c r="D317" s="20" t="str">
        <f>IFERROR(VLOOKUP([1]DATA!W308,'[1]DATA Engine'!$A$3:$H$800,4,FALSE),"")</f>
        <v/>
      </c>
      <c r="E317" s="20" t="str">
        <f>IFERROR(VLOOKUP([1]DATA!W308,'[1]DATA Engine'!$A$3:$H$800,5,FALSE),"")</f>
        <v/>
      </c>
      <c r="F317" s="18" t="str">
        <f>IFERROR(VLOOKUP([1]DATA!W308,'[1]DATA Engine'!$A$3:$H$800,6,FALSE),"")</f>
        <v/>
      </c>
      <c r="G317" s="18" t="str">
        <f>IFERROR(VLOOKUP([1]DATA!W308,'[1]DATA Engine'!$A$3:$H$800,7,FALSE),"")</f>
        <v/>
      </c>
      <c r="H317" s="18" t="str">
        <f>IFERROR(IF(ISNUMBER(SEARCH("GOW",VLOOKUP([1]DATA!W308,'[1]DATA Engine'!$A$3:$H$800,8,FALSE))),"GOW",""),"")</f>
        <v/>
      </c>
      <c r="I317" s="26"/>
      <c r="J317" s="24"/>
      <c r="K317" s="24"/>
      <c r="L317" s="24"/>
      <c r="M317" s="24"/>
      <c r="N317" s="24"/>
      <c r="O317" s="24"/>
      <c r="P317" s="25"/>
      <c r="Q317" s="1"/>
    </row>
    <row r="318" spans="2:17" ht="15">
      <c r="B318" s="18" t="str">
        <f>IF(C318="","",VLOOKUP([1]DATA!W309,'[1]DATA Engine'!$A$3:$H$800,2,FALSE))</f>
        <v/>
      </c>
      <c r="C318" s="19" t="str">
        <f>IFERROR(VLOOKUP([1]DATA!W309,'[1]DATA Engine'!$A$3:$H$800,3,FALSE),"")</f>
        <v/>
      </c>
      <c r="D318" s="20" t="str">
        <f>IFERROR(VLOOKUP([1]DATA!W309,'[1]DATA Engine'!$A$3:$H$800,4,FALSE),"")</f>
        <v/>
      </c>
      <c r="E318" s="20" t="str">
        <f>IFERROR(VLOOKUP([1]DATA!W309,'[1]DATA Engine'!$A$3:$H$800,5,FALSE),"")</f>
        <v/>
      </c>
      <c r="F318" s="18" t="str">
        <f>IFERROR(VLOOKUP([1]DATA!W309,'[1]DATA Engine'!$A$3:$H$800,6,FALSE),"")</f>
        <v/>
      </c>
      <c r="G318" s="18" t="str">
        <f>IFERROR(VLOOKUP([1]DATA!W309,'[1]DATA Engine'!$A$3:$H$800,7,FALSE),"")</f>
        <v/>
      </c>
      <c r="H318" s="18" t="str">
        <f>IFERROR(IF(ISNUMBER(SEARCH("GOW",VLOOKUP([1]DATA!W309,'[1]DATA Engine'!$A$3:$H$800,8,FALSE))),"GOW",""),"")</f>
        <v/>
      </c>
      <c r="I318" s="26"/>
      <c r="J318" s="24"/>
      <c r="K318" s="24"/>
      <c r="L318" s="24"/>
      <c r="M318" s="24"/>
      <c r="N318" s="24"/>
      <c r="O318" s="24"/>
      <c r="P318" s="25"/>
      <c r="Q318" s="1"/>
    </row>
    <row r="319" spans="2:17" ht="15">
      <c r="B319" s="18" t="str">
        <f>IF(C319="","",VLOOKUP([1]DATA!W310,'[1]DATA Engine'!$A$3:$H$800,2,FALSE))</f>
        <v/>
      </c>
      <c r="C319" s="19" t="str">
        <f>IFERROR(VLOOKUP([1]DATA!W310,'[1]DATA Engine'!$A$3:$H$800,3,FALSE),"")</f>
        <v/>
      </c>
      <c r="D319" s="20" t="str">
        <f>IFERROR(VLOOKUP([1]DATA!W310,'[1]DATA Engine'!$A$3:$H$800,4,FALSE),"")</f>
        <v/>
      </c>
      <c r="E319" s="20" t="str">
        <f>IFERROR(VLOOKUP([1]DATA!W310,'[1]DATA Engine'!$A$3:$H$800,5,FALSE),"")</f>
        <v/>
      </c>
      <c r="F319" s="18" t="str">
        <f>IFERROR(VLOOKUP([1]DATA!W310,'[1]DATA Engine'!$A$3:$H$800,6,FALSE),"")</f>
        <v/>
      </c>
      <c r="G319" s="18" t="str">
        <f>IFERROR(VLOOKUP([1]DATA!W310,'[1]DATA Engine'!$A$3:$H$800,7,FALSE),"")</f>
        <v/>
      </c>
      <c r="H319" s="18" t="str">
        <f>IFERROR(IF(ISNUMBER(SEARCH("GOW",VLOOKUP([1]DATA!W310,'[1]DATA Engine'!$A$3:$H$800,8,FALSE))),"GOW",""),"")</f>
        <v/>
      </c>
      <c r="I319" s="26"/>
      <c r="J319" s="24"/>
      <c r="K319" s="24"/>
      <c r="L319" s="24"/>
      <c r="M319" s="24"/>
      <c r="N319" s="24"/>
      <c r="O319" s="24"/>
      <c r="P319" s="25"/>
      <c r="Q319" s="1"/>
    </row>
    <row r="320" spans="2:17" ht="15">
      <c r="B320" s="18" t="str">
        <f>IF(C320="","",VLOOKUP([1]DATA!W311,'[1]DATA Engine'!$A$3:$H$800,2,FALSE))</f>
        <v/>
      </c>
      <c r="C320" s="19" t="str">
        <f>IFERROR(VLOOKUP([1]DATA!W311,'[1]DATA Engine'!$A$3:$H$800,3,FALSE),"")</f>
        <v/>
      </c>
      <c r="D320" s="20" t="str">
        <f>IFERROR(VLOOKUP([1]DATA!W311,'[1]DATA Engine'!$A$3:$H$800,4,FALSE),"")</f>
        <v/>
      </c>
      <c r="E320" s="20" t="str">
        <f>IFERROR(VLOOKUP([1]DATA!W311,'[1]DATA Engine'!$A$3:$H$800,5,FALSE),"")</f>
        <v/>
      </c>
      <c r="F320" s="18" t="str">
        <f>IFERROR(VLOOKUP([1]DATA!W311,'[1]DATA Engine'!$A$3:$H$800,6,FALSE),"")</f>
        <v/>
      </c>
      <c r="G320" s="18" t="str">
        <f>IFERROR(VLOOKUP([1]DATA!W311,'[1]DATA Engine'!$A$3:$H$800,7,FALSE),"")</f>
        <v/>
      </c>
      <c r="H320" s="18" t="str">
        <f>IFERROR(IF(ISNUMBER(SEARCH("GOW",VLOOKUP([1]DATA!W311,'[1]DATA Engine'!$A$3:$H$800,8,FALSE))),"GOW",""),"")</f>
        <v/>
      </c>
      <c r="I320" s="26"/>
      <c r="J320" s="24"/>
      <c r="K320" s="24"/>
      <c r="L320" s="24"/>
      <c r="M320" s="24"/>
      <c r="N320" s="24"/>
      <c r="O320" s="24"/>
      <c r="P320" s="25"/>
      <c r="Q320" s="1"/>
    </row>
    <row r="321" spans="2:17" ht="15">
      <c r="B321" s="18" t="str">
        <f>IF(C321="","",VLOOKUP([1]DATA!W312,'[1]DATA Engine'!$A$3:$H$800,2,FALSE))</f>
        <v/>
      </c>
      <c r="C321" s="19" t="str">
        <f>IFERROR(VLOOKUP([1]DATA!W312,'[1]DATA Engine'!$A$3:$H$800,3,FALSE),"")</f>
        <v/>
      </c>
      <c r="D321" s="20" t="str">
        <f>IFERROR(VLOOKUP([1]DATA!W312,'[1]DATA Engine'!$A$3:$H$800,4,FALSE),"")</f>
        <v/>
      </c>
      <c r="E321" s="20" t="str">
        <f>IFERROR(VLOOKUP([1]DATA!W312,'[1]DATA Engine'!$A$3:$H$800,5,FALSE),"")</f>
        <v/>
      </c>
      <c r="F321" s="18" t="str">
        <f>IFERROR(VLOOKUP([1]DATA!W312,'[1]DATA Engine'!$A$3:$H$800,6,FALSE),"")</f>
        <v/>
      </c>
      <c r="G321" s="18" t="str">
        <f>IFERROR(VLOOKUP([1]DATA!W312,'[1]DATA Engine'!$A$3:$H$800,7,FALSE),"")</f>
        <v/>
      </c>
      <c r="H321" s="18" t="str">
        <f>IFERROR(IF(ISNUMBER(SEARCH("GOW",VLOOKUP([1]DATA!W312,'[1]DATA Engine'!$A$3:$H$800,8,FALSE))),"GOW",""),"")</f>
        <v/>
      </c>
      <c r="I321" s="26"/>
      <c r="J321" s="24"/>
      <c r="K321" s="24"/>
      <c r="L321" s="24"/>
      <c r="M321" s="24"/>
      <c r="N321" s="24"/>
      <c r="O321" s="24"/>
      <c r="P321" s="25"/>
      <c r="Q321" s="1"/>
    </row>
    <row r="322" spans="2:17" ht="15">
      <c r="B322" s="18" t="str">
        <f>IF(C322="","",VLOOKUP([1]DATA!W313,'[1]DATA Engine'!$A$3:$H$800,2,FALSE))</f>
        <v/>
      </c>
      <c r="C322" s="19" t="str">
        <f>IFERROR(VLOOKUP([1]DATA!W313,'[1]DATA Engine'!$A$3:$H$800,3,FALSE),"")</f>
        <v/>
      </c>
      <c r="D322" s="20" t="str">
        <f>IFERROR(VLOOKUP([1]DATA!W313,'[1]DATA Engine'!$A$3:$H$800,4,FALSE),"")</f>
        <v/>
      </c>
      <c r="E322" s="20" t="str">
        <f>IFERROR(VLOOKUP([1]DATA!W313,'[1]DATA Engine'!$A$3:$H$800,5,FALSE),"")</f>
        <v/>
      </c>
      <c r="F322" s="18" t="str">
        <f>IFERROR(VLOOKUP([1]DATA!W313,'[1]DATA Engine'!$A$3:$H$800,6,FALSE),"")</f>
        <v/>
      </c>
      <c r="G322" s="18" t="str">
        <f>IFERROR(VLOOKUP([1]DATA!W313,'[1]DATA Engine'!$A$3:$H$800,7,FALSE),"")</f>
        <v/>
      </c>
      <c r="H322" s="18" t="str">
        <f>IFERROR(IF(ISNUMBER(SEARCH("GOW",VLOOKUP([1]DATA!W313,'[1]DATA Engine'!$A$3:$H$800,8,FALSE))),"GOW",""),"")</f>
        <v/>
      </c>
      <c r="I322" s="26"/>
      <c r="J322" s="24"/>
      <c r="K322" s="24"/>
      <c r="L322" s="24"/>
      <c r="M322" s="24"/>
      <c r="N322" s="24"/>
      <c r="O322" s="24"/>
      <c r="P322" s="25"/>
      <c r="Q322" s="1"/>
    </row>
    <row r="323" spans="2:17" ht="15">
      <c r="B323" s="18" t="str">
        <f>IF(C323="","",VLOOKUP([1]DATA!W314,'[1]DATA Engine'!$A$3:$H$800,2,FALSE))</f>
        <v/>
      </c>
      <c r="C323" s="19" t="str">
        <f>IFERROR(VLOOKUP([1]DATA!W314,'[1]DATA Engine'!$A$3:$H$800,3,FALSE),"")</f>
        <v/>
      </c>
      <c r="D323" s="20" t="str">
        <f>IFERROR(VLOOKUP([1]DATA!W314,'[1]DATA Engine'!$A$3:$H$800,4,FALSE),"")</f>
        <v/>
      </c>
      <c r="E323" s="20" t="str">
        <f>IFERROR(VLOOKUP([1]DATA!W314,'[1]DATA Engine'!$A$3:$H$800,5,FALSE),"")</f>
        <v/>
      </c>
      <c r="F323" s="18" t="str">
        <f>IFERROR(VLOOKUP([1]DATA!W314,'[1]DATA Engine'!$A$3:$H$800,6,FALSE),"")</f>
        <v/>
      </c>
      <c r="G323" s="18" t="str">
        <f>IFERROR(VLOOKUP([1]DATA!W314,'[1]DATA Engine'!$A$3:$H$800,7,FALSE),"")</f>
        <v/>
      </c>
      <c r="H323" s="18" t="str">
        <f>IFERROR(IF(ISNUMBER(SEARCH("GOW",VLOOKUP([1]DATA!W314,'[1]DATA Engine'!$A$3:$H$800,8,FALSE))),"GOW",""),"")</f>
        <v/>
      </c>
      <c r="I323" s="26"/>
      <c r="J323" s="24"/>
      <c r="K323" s="24"/>
      <c r="L323" s="24"/>
      <c r="M323" s="24"/>
      <c r="N323" s="24"/>
      <c r="O323" s="24"/>
      <c r="P323" s="25"/>
      <c r="Q323" s="1"/>
    </row>
    <row r="324" spans="2:17" ht="15">
      <c r="B324" s="18" t="str">
        <f>IF(C324="","",VLOOKUP([1]DATA!W315,'[1]DATA Engine'!$A$3:$H$800,2,FALSE))</f>
        <v/>
      </c>
      <c r="C324" s="19" t="str">
        <f>IFERROR(VLOOKUP([1]DATA!W315,'[1]DATA Engine'!$A$3:$H$800,3,FALSE),"")</f>
        <v/>
      </c>
      <c r="D324" s="20" t="str">
        <f>IFERROR(VLOOKUP([1]DATA!W315,'[1]DATA Engine'!$A$3:$H$800,4,FALSE),"")</f>
        <v/>
      </c>
      <c r="E324" s="20" t="str">
        <f>IFERROR(VLOOKUP([1]DATA!W315,'[1]DATA Engine'!$A$3:$H$800,5,FALSE),"")</f>
        <v/>
      </c>
      <c r="F324" s="18" t="str">
        <f>IFERROR(VLOOKUP([1]DATA!W315,'[1]DATA Engine'!$A$3:$H$800,6,FALSE),"")</f>
        <v/>
      </c>
      <c r="G324" s="18" t="str">
        <f>IFERROR(VLOOKUP([1]DATA!W315,'[1]DATA Engine'!$A$3:$H$800,7,FALSE),"")</f>
        <v/>
      </c>
      <c r="H324" s="18" t="str">
        <f>IFERROR(IF(ISNUMBER(SEARCH("GOW",VLOOKUP([1]DATA!W315,'[1]DATA Engine'!$A$3:$H$800,8,FALSE))),"GOW",""),"")</f>
        <v/>
      </c>
      <c r="I324" s="26"/>
      <c r="J324" s="24"/>
      <c r="K324" s="24"/>
      <c r="L324" s="24"/>
      <c r="M324" s="24"/>
      <c r="N324" s="24"/>
      <c r="O324" s="24"/>
      <c r="P324" s="25"/>
      <c r="Q324" s="1"/>
    </row>
    <row r="325" spans="2:17" ht="15">
      <c r="B325" s="18" t="str">
        <f>IF(C325="","",VLOOKUP([1]DATA!W316,'[1]DATA Engine'!$A$3:$H$800,2,FALSE))</f>
        <v/>
      </c>
      <c r="C325" s="19" t="str">
        <f>IFERROR(VLOOKUP([1]DATA!W316,'[1]DATA Engine'!$A$3:$H$800,3,FALSE),"")</f>
        <v/>
      </c>
      <c r="D325" s="20" t="str">
        <f>IFERROR(VLOOKUP([1]DATA!W316,'[1]DATA Engine'!$A$3:$H$800,4,FALSE),"")</f>
        <v/>
      </c>
      <c r="E325" s="20" t="str">
        <f>IFERROR(VLOOKUP([1]DATA!W316,'[1]DATA Engine'!$A$3:$H$800,5,FALSE),"")</f>
        <v/>
      </c>
      <c r="F325" s="18" t="str">
        <f>IFERROR(VLOOKUP([1]DATA!W316,'[1]DATA Engine'!$A$3:$H$800,6,FALSE),"")</f>
        <v/>
      </c>
      <c r="G325" s="18" t="str">
        <f>IFERROR(VLOOKUP([1]DATA!W316,'[1]DATA Engine'!$A$3:$H$800,7,FALSE),"")</f>
        <v/>
      </c>
      <c r="H325" s="18" t="str">
        <f>IFERROR(IF(ISNUMBER(SEARCH("GOW",VLOOKUP([1]DATA!W316,'[1]DATA Engine'!$A$3:$H$800,8,FALSE))),"GOW",""),"")</f>
        <v/>
      </c>
      <c r="I325" s="26"/>
      <c r="J325" s="24"/>
      <c r="K325" s="24"/>
      <c r="L325" s="24"/>
      <c r="M325" s="24"/>
      <c r="N325" s="24"/>
      <c r="O325" s="24"/>
      <c r="P325" s="25"/>
      <c r="Q325" s="1"/>
    </row>
    <row r="326" spans="2:17" ht="15">
      <c r="B326" s="18" t="str">
        <f>IF(C326="","",VLOOKUP([1]DATA!W317,'[1]DATA Engine'!$A$3:$H$800,2,FALSE))</f>
        <v/>
      </c>
      <c r="C326" s="19" t="str">
        <f>IFERROR(VLOOKUP([1]DATA!W317,'[1]DATA Engine'!$A$3:$H$800,3,FALSE),"")</f>
        <v/>
      </c>
      <c r="D326" s="20" t="str">
        <f>IFERROR(VLOOKUP([1]DATA!W317,'[1]DATA Engine'!$A$3:$H$800,4,FALSE),"")</f>
        <v/>
      </c>
      <c r="E326" s="20" t="str">
        <f>IFERROR(VLOOKUP([1]DATA!W317,'[1]DATA Engine'!$A$3:$H$800,5,FALSE),"")</f>
        <v/>
      </c>
      <c r="F326" s="18" t="str">
        <f>IFERROR(VLOOKUP([1]DATA!W317,'[1]DATA Engine'!$A$3:$H$800,6,FALSE),"")</f>
        <v/>
      </c>
      <c r="G326" s="18" t="str">
        <f>IFERROR(VLOOKUP([1]DATA!W317,'[1]DATA Engine'!$A$3:$H$800,7,FALSE),"")</f>
        <v/>
      </c>
      <c r="H326" s="18" t="str">
        <f>IFERROR(IF(ISNUMBER(SEARCH("GOW",VLOOKUP([1]DATA!W317,'[1]DATA Engine'!$A$3:$H$800,8,FALSE))),"GOW",""),"")</f>
        <v/>
      </c>
      <c r="I326" s="26"/>
      <c r="J326" s="24"/>
      <c r="K326" s="24"/>
      <c r="L326" s="24"/>
      <c r="M326" s="24"/>
      <c r="N326" s="24"/>
      <c r="O326" s="24"/>
      <c r="P326" s="25"/>
      <c r="Q326" s="1"/>
    </row>
    <row r="327" spans="2:17" ht="15">
      <c r="B327" s="18" t="str">
        <f>IF(C327="","",VLOOKUP([1]DATA!W318,'[1]DATA Engine'!$A$3:$H$800,2,FALSE))</f>
        <v/>
      </c>
      <c r="C327" s="19" t="str">
        <f>IFERROR(VLOOKUP([1]DATA!W318,'[1]DATA Engine'!$A$3:$H$800,3,FALSE),"")</f>
        <v/>
      </c>
      <c r="D327" s="20" t="str">
        <f>IFERROR(VLOOKUP([1]DATA!W318,'[1]DATA Engine'!$A$3:$H$800,4,FALSE),"")</f>
        <v/>
      </c>
      <c r="E327" s="20" t="str">
        <f>IFERROR(VLOOKUP([1]DATA!W318,'[1]DATA Engine'!$A$3:$H$800,5,FALSE),"")</f>
        <v/>
      </c>
      <c r="F327" s="18" t="str">
        <f>IFERROR(VLOOKUP([1]DATA!W318,'[1]DATA Engine'!$A$3:$H$800,6,FALSE),"")</f>
        <v/>
      </c>
      <c r="G327" s="18" t="str">
        <f>IFERROR(VLOOKUP([1]DATA!W318,'[1]DATA Engine'!$A$3:$H$800,7,FALSE),"")</f>
        <v/>
      </c>
      <c r="H327" s="18" t="str">
        <f>IFERROR(IF(ISNUMBER(SEARCH("GOW",VLOOKUP([1]DATA!W318,'[1]DATA Engine'!$A$3:$H$800,8,FALSE))),"GOW",""),"")</f>
        <v/>
      </c>
      <c r="I327" s="26"/>
      <c r="J327" s="24"/>
      <c r="K327" s="24"/>
      <c r="L327" s="24"/>
      <c r="M327" s="24"/>
      <c r="N327" s="24"/>
      <c r="O327" s="24"/>
      <c r="P327" s="25"/>
      <c r="Q327" s="1"/>
    </row>
    <row r="328" spans="2:17" ht="15">
      <c r="B328" s="18" t="str">
        <f>IF(C328="","",VLOOKUP([1]DATA!W319,'[1]DATA Engine'!$A$3:$H$800,2,FALSE))</f>
        <v/>
      </c>
      <c r="C328" s="19" t="str">
        <f>IFERROR(VLOOKUP([1]DATA!W319,'[1]DATA Engine'!$A$3:$H$800,3,FALSE),"")</f>
        <v/>
      </c>
      <c r="D328" s="20" t="str">
        <f>IFERROR(VLOOKUP([1]DATA!W319,'[1]DATA Engine'!$A$3:$H$800,4,FALSE),"")</f>
        <v/>
      </c>
      <c r="E328" s="20" t="str">
        <f>IFERROR(VLOOKUP([1]DATA!W319,'[1]DATA Engine'!$A$3:$H$800,5,FALSE),"")</f>
        <v/>
      </c>
      <c r="F328" s="18" t="str">
        <f>IFERROR(VLOOKUP([1]DATA!W319,'[1]DATA Engine'!$A$3:$H$800,6,FALSE),"")</f>
        <v/>
      </c>
      <c r="G328" s="18" t="str">
        <f>IFERROR(VLOOKUP([1]DATA!W319,'[1]DATA Engine'!$A$3:$H$800,7,FALSE),"")</f>
        <v/>
      </c>
      <c r="H328" s="18" t="str">
        <f>IFERROR(IF(ISNUMBER(SEARCH("GOW",VLOOKUP([1]DATA!W319,'[1]DATA Engine'!$A$3:$H$800,8,FALSE))),"GOW",""),"")</f>
        <v/>
      </c>
      <c r="I328" s="26"/>
      <c r="J328" s="24"/>
      <c r="K328" s="24"/>
      <c r="L328" s="24"/>
      <c r="M328" s="24"/>
      <c r="N328" s="24"/>
      <c r="O328" s="24"/>
      <c r="P328" s="25"/>
      <c r="Q328" s="1"/>
    </row>
    <row r="329" spans="2:17" ht="15">
      <c r="B329" s="18" t="str">
        <f>IF(C329="","",VLOOKUP([1]DATA!W320,'[1]DATA Engine'!$A$3:$H$800,2,FALSE))</f>
        <v/>
      </c>
      <c r="C329" s="19" t="str">
        <f>IFERROR(VLOOKUP([1]DATA!W320,'[1]DATA Engine'!$A$3:$H$800,3,FALSE),"")</f>
        <v/>
      </c>
      <c r="D329" s="20" t="str">
        <f>IFERROR(VLOOKUP([1]DATA!W320,'[1]DATA Engine'!$A$3:$H$800,4,FALSE),"")</f>
        <v/>
      </c>
      <c r="E329" s="20" t="str">
        <f>IFERROR(VLOOKUP([1]DATA!W320,'[1]DATA Engine'!$A$3:$H$800,5,FALSE),"")</f>
        <v/>
      </c>
      <c r="F329" s="18" t="str">
        <f>IFERROR(VLOOKUP([1]DATA!W320,'[1]DATA Engine'!$A$3:$H$800,6,FALSE),"")</f>
        <v/>
      </c>
      <c r="G329" s="18" t="str">
        <f>IFERROR(VLOOKUP([1]DATA!W320,'[1]DATA Engine'!$A$3:$H$800,7,FALSE),"")</f>
        <v/>
      </c>
      <c r="H329" s="18" t="str">
        <f>IFERROR(IF(ISNUMBER(SEARCH("GOW",VLOOKUP([1]DATA!W320,'[1]DATA Engine'!$A$3:$H$800,8,FALSE))),"GOW",""),"")</f>
        <v/>
      </c>
      <c r="I329" s="26"/>
      <c r="J329" s="24"/>
      <c r="K329" s="24"/>
      <c r="L329" s="24"/>
      <c r="M329" s="24"/>
      <c r="N329" s="24"/>
      <c r="O329" s="24"/>
      <c r="P329" s="25"/>
      <c r="Q329" s="1"/>
    </row>
    <row r="330" spans="2:17" ht="15">
      <c r="B330" s="18" t="str">
        <f>IF(C330="","",VLOOKUP([1]DATA!W321,'[1]DATA Engine'!$A$3:$H$800,2,FALSE))</f>
        <v/>
      </c>
      <c r="C330" s="19" t="str">
        <f>IFERROR(VLOOKUP([1]DATA!W321,'[1]DATA Engine'!$A$3:$H$800,3,FALSE),"")</f>
        <v/>
      </c>
      <c r="D330" s="20" t="str">
        <f>IFERROR(VLOOKUP([1]DATA!W321,'[1]DATA Engine'!$A$3:$H$800,4,FALSE),"")</f>
        <v/>
      </c>
      <c r="E330" s="20" t="str">
        <f>IFERROR(VLOOKUP([1]DATA!W321,'[1]DATA Engine'!$A$3:$H$800,5,FALSE),"")</f>
        <v/>
      </c>
      <c r="F330" s="18" t="str">
        <f>IFERROR(VLOOKUP([1]DATA!W321,'[1]DATA Engine'!$A$3:$H$800,6,FALSE),"")</f>
        <v/>
      </c>
      <c r="G330" s="18" t="str">
        <f>IFERROR(VLOOKUP([1]DATA!W321,'[1]DATA Engine'!$A$3:$H$800,7,FALSE),"")</f>
        <v/>
      </c>
      <c r="H330" s="18" t="str">
        <f>IFERROR(IF(ISNUMBER(SEARCH("GOW",VLOOKUP([1]DATA!W321,'[1]DATA Engine'!$A$3:$H$800,8,FALSE))),"GOW",""),"")</f>
        <v/>
      </c>
      <c r="I330" s="26"/>
      <c r="J330" s="24"/>
      <c r="K330" s="24"/>
      <c r="L330" s="24"/>
      <c r="M330" s="24"/>
      <c r="N330" s="24"/>
      <c r="O330" s="24"/>
      <c r="P330" s="25"/>
      <c r="Q330" s="1"/>
    </row>
    <row r="331" spans="2:17" ht="15">
      <c r="B331" s="18" t="str">
        <f>IF(C331="","",VLOOKUP([1]DATA!W322,'[1]DATA Engine'!$A$3:$H$800,2,FALSE))</f>
        <v/>
      </c>
      <c r="C331" s="19" t="str">
        <f>IFERROR(VLOOKUP([1]DATA!W322,'[1]DATA Engine'!$A$3:$H$800,3,FALSE),"")</f>
        <v/>
      </c>
      <c r="D331" s="20" t="str">
        <f>IFERROR(VLOOKUP([1]DATA!W322,'[1]DATA Engine'!$A$3:$H$800,4,FALSE),"")</f>
        <v/>
      </c>
      <c r="E331" s="20" t="str">
        <f>IFERROR(VLOOKUP([1]DATA!W322,'[1]DATA Engine'!$A$3:$H$800,5,FALSE),"")</f>
        <v/>
      </c>
      <c r="F331" s="18" t="str">
        <f>IFERROR(VLOOKUP([1]DATA!W322,'[1]DATA Engine'!$A$3:$H$800,6,FALSE),"")</f>
        <v/>
      </c>
      <c r="G331" s="18" t="str">
        <f>IFERROR(VLOOKUP([1]DATA!W322,'[1]DATA Engine'!$A$3:$H$800,7,FALSE),"")</f>
        <v/>
      </c>
      <c r="H331" s="18" t="str">
        <f>IFERROR(IF(ISNUMBER(SEARCH("GOW",VLOOKUP([1]DATA!W322,'[1]DATA Engine'!$A$3:$H$800,8,FALSE))),"GOW",""),"")</f>
        <v/>
      </c>
      <c r="I331" s="26"/>
      <c r="J331" s="24"/>
      <c r="K331" s="24"/>
      <c r="L331" s="24"/>
      <c r="M331" s="24"/>
      <c r="N331" s="24"/>
      <c r="O331" s="24"/>
      <c r="P331" s="25"/>
      <c r="Q331" s="1"/>
    </row>
    <row r="332" spans="2:17" ht="15">
      <c r="B332" s="18" t="str">
        <f>IF(C332="","",VLOOKUP([1]DATA!W323,'[1]DATA Engine'!$A$3:$H$800,2,FALSE))</f>
        <v/>
      </c>
      <c r="C332" s="19" t="str">
        <f>IFERROR(VLOOKUP([1]DATA!W323,'[1]DATA Engine'!$A$3:$H$800,3,FALSE),"")</f>
        <v/>
      </c>
      <c r="D332" s="20" t="str">
        <f>IFERROR(VLOOKUP([1]DATA!W323,'[1]DATA Engine'!$A$3:$H$800,4,FALSE),"")</f>
        <v/>
      </c>
      <c r="E332" s="20" t="str">
        <f>IFERROR(VLOOKUP([1]DATA!W323,'[1]DATA Engine'!$A$3:$H$800,5,FALSE),"")</f>
        <v/>
      </c>
      <c r="F332" s="18" t="str">
        <f>IFERROR(VLOOKUP([1]DATA!W323,'[1]DATA Engine'!$A$3:$H$800,6,FALSE),"")</f>
        <v/>
      </c>
      <c r="G332" s="18" t="str">
        <f>IFERROR(VLOOKUP([1]DATA!W323,'[1]DATA Engine'!$A$3:$H$800,7,FALSE),"")</f>
        <v/>
      </c>
      <c r="H332" s="18" t="str">
        <f>IFERROR(IF(ISNUMBER(SEARCH("GOW",VLOOKUP([1]DATA!W323,'[1]DATA Engine'!$A$3:$H$800,8,FALSE))),"GOW",""),"")</f>
        <v/>
      </c>
      <c r="I332" s="26"/>
      <c r="J332" s="24"/>
      <c r="K332" s="24"/>
      <c r="L332" s="24"/>
      <c r="M332" s="24"/>
      <c r="N332" s="24"/>
      <c r="O332" s="24"/>
      <c r="P332" s="25"/>
      <c r="Q332" s="1"/>
    </row>
    <row r="333" spans="2:17" ht="15">
      <c r="B333" s="18" t="str">
        <f>IF(C333="","",VLOOKUP([1]DATA!W324,'[1]DATA Engine'!$A$3:$H$800,2,FALSE))</f>
        <v/>
      </c>
      <c r="C333" s="19" t="str">
        <f>IFERROR(VLOOKUP([1]DATA!W324,'[1]DATA Engine'!$A$3:$H$800,3,FALSE),"")</f>
        <v/>
      </c>
      <c r="D333" s="20" t="str">
        <f>IFERROR(VLOOKUP([1]DATA!W324,'[1]DATA Engine'!$A$3:$H$800,4,FALSE),"")</f>
        <v/>
      </c>
      <c r="E333" s="20" t="str">
        <f>IFERROR(VLOOKUP([1]DATA!W324,'[1]DATA Engine'!$A$3:$H$800,5,FALSE),"")</f>
        <v/>
      </c>
      <c r="F333" s="18" t="str">
        <f>IFERROR(VLOOKUP([1]DATA!W324,'[1]DATA Engine'!$A$3:$H$800,6,FALSE),"")</f>
        <v/>
      </c>
      <c r="G333" s="18" t="str">
        <f>IFERROR(VLOOKUP([1]DATA!W324,'[1]DATA Engine'!$A$3:$H$800,7,FALSE),"")</f>
        <v/>
      </c>
      <c r="H333" s="18" t="str">
        <f>IFERROR(IF(ISNUMBER(SEARCH("GOW",VLOOKUP([1]DATA!W324,'[1]DATA Engine'!$A$3:$H$800,8,FALSE))),"GOW",""),"")</f>
        <v/>
      </c>
      <c r="I333" s="26"/>
      <c r="J333" s="24"/>
      <c r="K333" s="24"/>
      <c r="L333" s="24"/>
      <c r="M333" s="24"/>
      <c r="N333" s="24"/>
      <c r="O333" s="24"/>
      <c r="P333" s="25"/>
      <c r="Q333" s="1"/>
    </row>
    <row r="334" spans="2:17" ht="15">
      <c r="B334" s="18" t="str">
        <f>IF(C334="","",VLOOKUP([1]DATA!W325,'[1]DATA Engine'!$A$3:$H$800,2,FALSE))</f>
        <v/>
      </c>
      <c r="C334" s="19" t="str">
        <f>IFERROR(VLOOKUP([1]DATA!W325,'[1]DATA Engine'!$A$3:$H$800,3,FALSE),"")</f>
        <v/>
      </c>
      <c r="D334" s="20" t="str">
        <f>IFERROR(VLOOKUP([1]DATA!W325,'[1]DATA Engine'!$A$3:$H$800,4,FALSE),"")</f>
        <v/>
      </c>
      <c r="E334" s="20" t="str">
        <f>IFERROR(VLOOKUP([1]DATA!W325,'[1]DATA Engine'!$A$3:$H$800,5,FALSE),"")</f>
        <v/>
      </c>
      <c r="F334" s="18" t="str">
        <f>IFERROR(VLOOKUP([1]DATA!W325,'[1]DATA Engine'!$A$3:$H$800,6,FALSE),"")</f>
        <v/>
      </c>
      <c r="G334" s="18" t="str">
        <f>IFERROR(VLOOKUP([1]DATA!W325,'[1]DATA Engine'!$A$3:$H$800,7,FALSE),"")</f>
        <v/>
      </c>
      <c r="H334" s="18" t="str">
        <f>IFERROR(IF(ISNUMBER(SEARCH("GOW",VLOOKUP([1]DATA!W325,'[1]DATA Engine'!$A$3:$H$800,8,FALSE))),"GOW",""),"")</f>
        <v/>
      </c>
      <c r="I334" s="26"/>
      <c r="J334" s="24"/>
      <c r="K334" s="24"/>
      <c r="L334" s="24"/>
      <c r="M334" s="24"/>
      <c r="N334" s="24"/>
      <c r="O334" s="24"/>
      <c r="P334" s="25"/>
      <c r="Q334" s="1"/>
    </row>
    <row r="335" spans="2:17" ht="15">
      <c r="B335" s="18" t="str">
        <f>IF(C335="","",VLOOKUP([1]DATA!W326,'[1]DATA Engine'!$A$3:$H$800,2,FALSE))</f>
        <v/>
      </c>
      <c r="C335" s="19" t="str">
        <f>IFERROR(VLOOKUP([1]DATA!W326,'[1]DATA Engine'!$A$3:$H$800,3,FALSE),"")</f>
        <v/>
      </c>
      <c r="D335" s="20" t="str">
        <f>IFERROR(VLOOKUP([1]DATA!W326,'[1]DATA Engine'!$A$3:$H$800,4,FALSE),"")</f>
        <v/>
      </c>
      <c r="E335" s="20" t="str">
        <f>IFERROR(VLOOKUP([1]DATA!W326,'[1]DATA Engine'!$A$3:$H$800,5,FALSE),"")</f>
        <v/>
      </c>
      <c r="F335" s="18" t="str">
        <f>IFERROR(VLOOKUP([1]DATA!W326,'[1]DATA Engine'!$A$3:$H$800,6,FALSE),"")</f>
        <v/>
      </c>
      <c r="G335" s="18" t="str">
        <f>IFERROR(VLOOKUP([1]DATA!W326,'[1]DATA Engine'!$A$3:$H$800,7,FALSE),"")</f>
        <v/>
      </c>
      <c r="H335" s="18" t="str">
        <f>IFERROR(IF(ISNUMBER(SEARCH("GOW",VLOOKUP([1]DATA!W326,'[1]DATA Engine'!$A$3:$H$800,8,FALSE))),"GOW",""),"")</f>
        <v/>
      </c>
      <c r="I335" s="26"/>
      <c r="J335" s="24"/>
      <c r="K335" s="24"/>
      <c r="L335" s="24"/>
      <c r="M335" s="24"/>
      <c r="N335" s="24"/>
      <c r="O335" s="24"/>
      <c r="P335" s="25"/>
      <c r="Q335" s="1"/>
    </row>
    <row r="336" spans="2:17" ht="15">
      <c r="B336" s="18" t="str">
        <f>IF(C336="","",VLOOKUP([1]DATA!W327,'[1]DATA Engine'!$A$3:$H$800,2,FALSE))</f>
        <v/>
      </c>
      <c r="C336" s="19" t="str">
        <f>IFERROR(VLOOKUP([1]DATA!W327,'[1]DATA Engine'!$A$3:$H$800,3,FALSE),"")</f>
        <v/>
      </c>
      <c r="D336" s="20" t="str">
        <f>IFERROR(VLOOKUP([1]DATA!W327,'[1]DATA Engine'!$A$3:$H$800,4,FALSE),"")</f>
        <v/>
      </c>
      <c r="E336" s="20" t="str">
        <f>IFERROR(VLOOKUP([1]DATA!W327,'[1]DATA Engine'!$A$3:$H$800,5,FALSE),"")</f>
        <v/>
      </c>
      <c r="F336" s="18" t="str">
        <f>IFERROR(VLOOKUP([1]DATA!W327,'[1]DATA Engine'!$A$3:$H$800,6,FALSE),"")</f>
        <v/>
      </c>
      <c r="G336" s="18" t="str">
        <f>IFERROR(VLOOKUP([1]DATA!W327,'[1]DATA Engine'!$A$3:$H$800,7,FALSE),"")</f>
        <v/>
      </c>
      <c r="H336" s="18" t="str">
        <f>IFERROR(IF(ISNUMBER(SEARCH("GOW",VLOOKUP([1]DATA!W327,'[1]DATA Engine'!$A$3:$H$800,8,FALSE))),"GOW",""),"")</f>
        <v/>
      </c>
      <c r="I336" s="26"/>
      <c r="J336" s="24"/>
      <c r="K336" s="24"/>
      <c r="L336" s="24"/>
      <c r="M336" s="24"/>
      <c r="N336" s="24"/>
      <c r="O336" s="24"/>
      <c r="P336" s="25"/>
      <c r="Q336" s="1"/>
    </row>
    <row r="337" spans="2:17" ht="15">
      <c r="B337" s="18" t="str">
        <f>IF(C337="","",VLOOKUP([1]DATA!W328,'[1]DATA Engine'!$A$3:$H$800,2,FALSE))</f>
        <v/>
      </c>
      <c r="C337" s="19" t="str">
        <f>IFERROR(VLOOKUP([1]DATA!W328,'[1]DATA Engine'!$A$3:$H$800,3,FALSE),"")</f>
        <v/>
      </c>
      <c r="D337" s="20" t="str">
        <f>IFERROR(VLOOKUP([1]DATA!W328,'[1]DATA Engine'!$A$3:$H$800,4,FALSE),"")</f>
        <v/>
      </c>
      <c r="E337" s="20" t="str">
        <f>IFERROR(VLOOKUP([1]DATA!W328,'[1]DATA Engine'!$A$3:$H$800,5,FALSE),"")</f>
        <v/>
      </c>
      <c r="F337" s="18" t="str">
        <f>IFERROR(VLOOKUP([1]DATA!W328,'[1]DATA Engine'!$A$3:$H$800,6,FALSE),"")</f>
        <v/>
      </c>
      <c r="G337" s="18" t="str">
        <f>IFERROR(VLOOKUP([1]DATA!W328,'[1]DATA Engine'!$A$3:$H$800,7,FALSE),"")</f>
        <v/>
      </c>
      <c r="H337" s="18" t="str">
        <f>IFERROR(IF(ISNUMBER(SEARCH("GOW",VLOOKUP([1]DATA!W328,'[1]DATA Engine'!$A$3:$H$800,8,FALSE))),"GOW",""),"")</f>
        <v/>
      </c>
      <c r="I337" s="26"/>
      <c r="J337" s="24"/>
      <c r="K337" s="24"/>
      <c r="L337" s="24"/>
      <c r="M337" s="24"/>
      <c r="N337" s="24"/>
      <c r="O337" s="24"/>
      <c r="P337" s="25"/>
      <c r="Q337" s="1"/>
    </row>
    <row r="338" spans="2:17" ht="15">
      <c r="B338" s="18" t="str">
        <f>IF(C338="","",VLOOKUP([1]DATA!W329,'[1]DATA Engine'!$A$3:$H$800,2,FALSE))</f>
        <v/>
      </c>
      <c r="C338" s="19" t="str">
        <f>IFERROR(VLOOKUP([1]DATA!W329,'[1]DATA Engine'!$A$3:$H$800,3,FALSE),"")</f>
        <v/>
      </c>
      <c r="D338" s="20" t="str">
        <f>IFERROR(VLOOKUP([1]DATA!W329,'[1]DATA Engine'!$A$3:$H$800,4,FALSE),"")</f>
        <v/>
      </c>
      <c r="E338" s="20" t="str">
        <f>IFERROR(VLOOKUP([1]DATA!W329,'[1]DATA Engine'!$A$3:$H$800,5,FALSE),"")</f>
        <v/>
      </c>
      <c r="F338" s="18" t="str">
        <f>IFERROR(VLOOKUP([1]DATA!W329,'[1]DATA Engine'!$A$3:$H$800,6,FALSE),"")</f>
        <v/>
      </c>
      <c r="G338" s="18" t="str">
        <f>IFERROR(VLOOKUP([1]DATA!W329,'[1]DATA Engine'!$A$3:$H$800,7,FALSE),"")</f>
        <v/>
      </c>
      <c r="H338" s="18" t="str">
        <f>IFERROR(IF(ISNUMBER(SEARCH("GOW",VLOOKUP([1]DATA!W329,'[1]DATA Engine'!$A$3:$H$800,8,FALSE))),"GOW",""),"")</f>
        <v/>
      </c>
      <c r="I338" s="26"/>
      <c r="J338" s="24"/>
      <c r="K338" s="24"/>
      <c r="L338" s="24"/>
      <c r="M338" s="24"/>
      <c r="N338" s="24"/>
      <c r="O338" s="24"/>
      <c r="P338" s="25"/>
      <c r="Q338" s="1"/>
    </row>
    <row r="339" spans="2:17" ht="15">
      <c r="B339" s="18" t="str">
        <f>IF(C339="","",VLOOKUP([1]DATA!W330,'[1]DATA Engine'!$A$3:$H$800,2,FALSE))</f>
        <v/>
      </c>
      <c r="C339" s="19" t="str">
        <f>IFERROR(VLOOKUP([1]DATA!W330,'[1]DATA Engine'!$A$3:$H$800,3,FALSE),"")</f>
        <v/>
      </c>
      <c r="D339" s="20" t="str">
        <f>IFERROR(VLOOKUP([1]DATA!W330,'[1]DATA Engine'!$A$3:$H$800,4,FALSE),"")</f>
        <v/>
      </c>
      <c r="E339" s="20" t="str">
        <f>IFERROR(VLOOKUP([1]DATA!W330,'[1]DATA Engine'!$A$3:$H$800,5,FALSE),"")</f>
        <v/>
      </c>
      <c r="F339" s="18" t="str">
        <f>IFERROR(VLOOKUP([1]DATA!W330,'[1]DATA Engine'!$A$3:$H$800,6,FALSE),"")</f>
        <v/>
      </c>
      <c r="G339" s="18" t="str">
        <f>IFERROR(VLOOKUP([1]DATA!W330,'[1]DATA Engine'!$A$3:$H$800,7,FALSE),"")</f>
        <v/>
      </c>
      <c r="H339" s="18" t="str">
        <f>IFERROR(IF(ISNUMBER(SEARCH("GOW",VLOOKUP([1]DATA!W330,'[1]DATA Engine'!$A$3:$H$800,8,FALSE))),"GOW",""),"")</f>
        <v/>
      </c>
      <c r="I339" s="26"/>
      <c r="J339" s="24"/>
      <c r="K339" s="24"/>
      <c r="L339" s="24"/>
      <c r="M339" s="24"/>
      <c r="N339" s="24"/>
      <c r="O339" s="24"/>
      <c r="P339" s="25"/>
      <c r="Q339" s="1"/>
    </row>
    <row r="340" spans="2:17" ht="15">
      <c r="B340" s="18" t="str">
        <f>IF(C340="","",VLOOKUP([1]DATA!W331,'[1]DATA Engine'!$A$3:$H$800,2,FALSE))</f>
        <v/>
      </c>
      <c r="C340" s="19" t="str">
        <f>IFERROR(VLOOKUP([1]DATA!W331,'[1]DATA Engine'!$A$3:$H$800,3,FALSE),"")</f>
        <v/>
      </c>
      <c r="D340" s="20" t="str">
        <f>IFERROR(VLOOKUP([1]DATA!W331,'[1]DATA Engine'!$A$3:$H$800,4,FALSE),"")</f>
        <v/>
      </c>
      <c r="E340" s="20" t="str">
        <f>IFERROR(VLOOKUP([1]DATA!W331,'[1]DATA Engine'!$A$3:$H$800,5,FALSE),"")</f>
        <v/>
      </c>
      <c r="F340" s="18" t="str">
        <f>IFERROR(VLOOKUP([1]DATA!W331,'[1]DATA Engine'!$A$3:$H$800,6,FALSE),"")</f>
        <v/>
      </c>
      <c r="G340" s="18" t="str">
        <f>IFERROR(VLOOKUP([1]DATA!W331,'[1]DATA Engine'!$A$3:$H$800,7,FALSE),"")</f>
        <v/>
      </c>
      <c r="H340" s="18" t="str">
        <f>IFERROR(IF(ISNUMBER(SEARCH("GOW",VLOOKUP([1]DATA!W331,'[1]DATA Engine'!$A$3:$H$800,8,FALSE))),"GOW",""),"")</f>
        <v/>
      </c>
      <c r="I340" s="26"/>
      <c r="J340" s="24"/>
      <c r="K340" s="24"/>
      <c r="L340" s="24"/>
      <c r="M340" s="24"/>
      <c r="N340" s="24"/>
      <c r="O340" s="24"/>
      <c r="P340" s="25"/>
      <c r="Q340" s="1"/>
    </row>
    <row r="341" spans="2:17" ht="15">
      <c r="B341" s="18" t="str">
        <f>IF(C341="","",VLOOKUP([1]DATA!W332,'[1]DATA Engine'!$A$3:$H$800,2,FALSE))</f>
        <v/>
      </c>
      <c r="C341" s="19" t="str">
        <f>IFERROR(VLOOKUP([1]DATA!W332,'[1]DATA Engine'!$A$3:$H$800,3,FALSE),"")</f>
        <v/>
      </c>
      <c r="D341" s="20" t="str">
        <f>IFERROR(VLOOKUP([1]DATA!W332,'[1]DATA Engine'!$A$3:$H$800,4,FALSE),"")</f>
        <v/>
      </c>
      <c r="E341" s="20" t="str">
        <f>IFERROR(VLOOKUP([1]DATA!W332,'[1]DATA Engine'!$A$3:$H$800,5,FALSE),"")</f>
        <v/>
      </c>
      <c r="F341" s="18" t="str">
        <f>IFERROR(VLOOKUP([1]DATA!W332,'[1]DATA Engine'!$A$3:$H$800,6,FALSE),"")</f>
        <v/>
      </c>
      <c r="G341" s="18" t="str">
        <f>IFERROR(VLOOKUP([1]DATA!W332,'[1]DATA Engine'!$A$3:$H$800,7,FALSE),"")</f>
        <v/>
      </c>
      <c r="H341" s="18" t="str">
        <f>IFERROR(IF(ISNUMBER(SEARCH("GOW",VLOOKUP([1]DATA!W332,'[1]DATA Engine'!$A$3:$H$800,8,FALSE))),"GOW",""),"")</f>
        <v/>
      </c>
      <c r="I341" s="26"/>
      <c r="J341" s="24"/>
      <c r="K341" s="24"/>
      <c r="L341" s="24"/>
      <c r="M341" s="24"/>
      <c r="N341" s="24"/>
      <c r="O341" s="24"/>
      <c r="P341" s="25"/>
      <c r="Q341" s="1"/>
    </row>
    <row r="342" spans="2:17" ht="15">
      <c r="B342" s="18" t="str">
        <f>IF(C342="","",VLOOKUP([1]DATA!W333,'[1]DATA Engine'!$A$3:$H$800,2,FALSE))</f>
        <v/>
      </c>
      <c r="C342" s="19" t="str">
        <f>IFERROR(VLOOKUP([1]DATA!W333,'[1]DATA Engine'!$A$3:$H$800,3,FALSE),"")</f>
        <v/>
      </c>
      <c r="D342" s="20" t="str">
        <f>IFERROR(VLOOKUP([1]DATA!W333,'[1]DATA Engine'!$A$3:$H$800,4,FALSE),"")</f>
        <v/>
      </c>
      <c r="E342" s="20" t="str">
        <f>IFERROR(VLOOKUP([1]DATA!W333,'[1]DATA Engine'!$A$3:$H$800,5,FALSE),"")</f>
        <v/>
      </c>
      <c r="F342" s="18" t="str">
        <f>IFERROR(VLOOKUP([1]DATA!W333,'[1]DATA Engine'!$A$3:$H$800,6,FALSE),"")</f>
        <v/>
      </c>
      <c r="G342" s="18" t="str">
        <f>IFERROR(VLOOKUP([1]DATA!W333,'[1]DATA Engine'!$A$3:$H$800,7,FALSE),"")</f>
        <v/>
      </c>
      <c r="H342" s="18" t="str">
        <f>IFERROR(IF(ISNUMBER(SEARCH("GOW",VLOOKUP([1]DATA!W333,'[1]DATA Engine'!$A$3:$H$800,8,FALSE))),"GOW",""),"")</f>
        <v/>
      </c>
      <c r="I342" s="26"/>
      <c r="J342" s="24"/>
      <c r="K342" s="24"/>
      <c r="L342" s="24"/>
      <c r="M342" s="24"/>
      <c r="N342" s="24"/>
      <c r="O342" s="24"/>
      <c r="P342" s="25"/>
      <c r="Q342" s="1"/>
    </row>
    <row r="343" spans="2:17" ht="15">
      <c r="B343" s="18" t="str">
        <f>IF(C343="","",VLOOKUP([1]DATA!W334,'[1]DATA Engine'!$A$3:$H$800,2,FALSE))</f>
        <v/>
      </c>
      <c r="C343" s="19" t="str">
        <f>IFERROR(VLOOKUP([1]DATA!W334,'[1]DATA Engine'!$A$3:$H$800,3,FALSE),"")</f>
        <v/>
      </c>
      <c r="D343" s="20" t="str">
        <f>IFERROR(VLOOKUP([1]DATA!W334,'[1]DATA Engine'!$A$3:$H$800,4,FALSE),"")</f>
        <v/>
      </c>
      <c r="E343" s="20" t="str">
        <f>IFERROR(VLOOKUP([1]DATA!W334,'[1]DATA Engine'!$A$3:$H$800,5,FALSE),"")</f>
        <v/>
      </c>
      <c r="F343" s="18" t="str">
        <f>IFERROR(VLOOKUP([1]DATA!W334,'[1]DATA Engine'!$A$3:$H$800,6,FALSE),"")</f>
        <v/>
      </c>
      <c r="G343" s="18" t="str">
        <f>IFERROR(VLOOKUP([1]DATA!W334,'[1]DATA Engine'!$A$3:$H$800,7,FALSE),"")</f>
        <v/>
      </c>
      <c r="H343" s="18" t="str">
        <f>IFERROR(IF(ISNUMBER(SEARCH("GOW",VLOOKUP([1]DATA!W334,'[1]DATA Engine'!$A$3:$H$800,8,FALSE))),"GOW",""),"")</f>
        <v/>
      </c>
      <c r="I343" s="26"/>
      <c r="J343" s="24"/>
      <c r="K343" s="24"/>
      <c r="L343" s="24"/>
      <c r="M343" s="24"/>
      <c r="N343" s="24"/>
      <c r="O343" s="24"/>
      <c r="P343" s="25"/>
      <c r="Q343" s="1"/>
    </row>
    <row r="344" spans="2:17" ht="15">
      <c r="B344" s="18" t="str">
        <f>IF(C344="","",VLOOKUP([1]DATA!W335,'[1]DATA Engine'!$A$3:$H$800,2,FALSE))</f>
        <v/>
      </c>
      <c r="C344" s="19" t="str">
        <f>IFERROR(VLOOKUP([1]DATA!W335,'[1]DATA Engine'!$A$3:$H$800,3,FALSE),"")</f>
        <v/>
      </c>
      <c r="D344" s="20" t="str">
        <f>IFERROR(VLOOKUP([1]DATA!W335,'[1]DATA Engine'!$A$3:$H$800,4,FALSE),"")</f>
        <v/>
      </c>
      <c r="E344" s="20" t="str">
        <f>IFERROR(VLOOKUP([1]DATA!W335,'[1]DATA Engine'!$A$3:$H$800,5,FALSE),"")</f>
        <v/>
      </c>
      <c r="F344" s="18" t="str">
        <f>IFERROR(VLOOKUP([1]DATA!W335,'[1]DATA Engine'!$A$3:$H$800,6,FALSE),"")</f>
        <v/>
      </c>
      <c r="G344" s="18" t="str">
        <f>IFERROR(VLOOKUP([1]DATA!W335,'[1]DATA Engine'!$A$3:$H$800,7,FALSE),"")</f>
        <v/>
      </c>
      <c r="H344" s="18" t="str">
        <f>IFERROR(IF(ISNUMBER(SEARCH("GOW",VLOOKUP([1]DATA!W335,'[1]DATA Engine'!$A$3:$H$800,8,FALSE))),"GOW",""),"")</f>
        <v/>
      </c>
      <c r="I344" s="26"/>
      <c r="J344" s="24"/>
      <c r="K344" s="24"/>
      <c r="L344" s="24"/>
      <c r="M344" s="24"/>
      <c r="N344" s="24"/>
      <c r="O344" s="24"/>
      <c r="P344" s="25"/>
      <c r="Q344" s="1"/>
    </row>
    <row r="345" spans="2:17" ht="15">
      <c r="B345" s="18" t="str">
        <f>IF(C345="","",VLOOKUP([1]DATA!W336,'[1]DATA Engine'!$A$3:$H$800,2,FALSE))</f>
        <v/>
      </c>
      <c r="C345" s="19" t="str">
        <f>IFERROR(VLOOKUP([1]DATA!W336,'[1]DATA Engine'!$A$3:$H$800,3,FALSE),"")</f>
        <v/>
      </c>
      <c r="D345" s="20" t="str">
        <f>IFERROR(VLOOKUP([1]DATA!W336,'[1]DATA Engine'!$A$3:$H$800,4,FALSE),"")</f>
        <v/>
      </c>
      <c r="E345" s="20" t="str">
        <f>IFERROR(VLOOKUP([1]DATA!W336,'[1]DATA Engine'!$A$3:$H$800,5,FALSE),"")</f>
        <v/>
      </c>
      <c r="F345" s="18" t="str">
        <f>IFERROR(VLOOKUP([1]DATA!W336,'[1]DATA Engine'!$A$3:$H$800,6,FALSE),"")</f>
        <v/>
      </c>
      <c r="G345" s="18" t="str">
        <f>IFERROR(VLOOKUP([1]DATA!W336,'[1]DATA Engine'!$A$3:$H$800,7,FALSE),"")</f>
        <v/>
      </c>
      <c r="H345" s="18" t="str">
        <f>IFERROR(IF(ISNUMBER(SEARCH("GOW",VLOOKUP([1]DATA!W336,'[1]DATA Engine'!$A$3:$H$800,8,FALSE))),"GOW",""),"")</f>
        <v/>
      </c>
      <c r="I345" s="26"/>
      <c r="J345" s="24"/>
      <c r="K345" s="24"/>
      <c r="L345" s="24"/>
      <c r="M345" s="24"/>
      <c r="N345" s="24"/>
      <c r="O345" s="24"/>
      <c r="P345" s="25"/>
      <c r="Q345" s="1"/>
    </row>
    <row r="346" spans="2:17" ht="15">
      <c r="B346" s="18" t="str">
        <f>IF(C346="","",VLOOKUP([1]DATA!W337,'[1]DATA Engine'!$A$3:$H$800,2,FALSE))</f>
        <v/>
      </c>
      <c r="C346" s="19" t="str">
        <f>IFERROR(VLOOKUP([1]DATA!W337,'[1]DATA Engine'!$A$3:$H$800,3,FALSE),"")</f>
        <v/>
      </c>
      <c r="D346" s="20" t="str">
        <f>IFERROR(VLOOKUP([1]DATA!W337,'[1]DATA Engine'!$A$3:$H$800,4,FALSE),"")</f>
        <v/>
      </c>
      <c r="E346" s="20" t="str">
        <f>IFERROR(VLOOKUP([1]DATA!W337,'[1]DATA Engine'!$A$3:$H$800,5,FALSE),"")</f>
        <v/>
      </c>
      <c r="F346" s="18" t="str">
        <f>IFERROR(VLOOKUP([1]DATA!W337,'[1]DATA Engine'!$A$3:$H$800,6,FALSE),"")</f>
        <v/>
      </c>
      <c r="G346" s="18" t="str">
        <f>IFERROR(VLOOKUP([1]DATA!W337,'[1]DATA Engine'!$A$3:$H$800,7,FALSE),"")</f>
        <v/>
      </c>
      <c r="H346" s="18" t="str">
        <f>IFERROR(IF(ISNUMBER(SEARCH("GOW",VLOOKUP([1]DATA!W337,'[1]DATA Engine'!$A$3:$H$800,8,FALSE))),"GOW",""),"")</f>
        <v/>
      </c>
      <c r="I346" s="26"/>
      <c r="J346" s="24"/>
      <c r="K346" s="24"/>
      <c r="L346" s="24"/>
      <c r="M346" s="24"/>
      <c r="N346" s="24"/>
      <c r="O346" s="24"/>
      <c r="P346" s="25"/>
      <c r="Q346" s="1"/>
    </row>
    <row r="347" spans="2:17" ht="15">
      <c r="B347" s="18" t="str">
        <f>IF(C347="","",VLOOKUP([1]DATA!W338,'[1]DATA Engine'!$A$3:$H$800,2,FALSE))</f>
        <v/>
      </c>
      <c r="C347" s="19" t="str">
        <f>IFERROR(VLOOKUP([1]DATA!W338,'[1]DATA Engine'!$A$3:$H$800,3,FALSE),"")</f>
        <v/>
      </c>
      <c r="D347" s="20" t="str">
        <f>IFERROR(VLOOKUP([1]DATA!W338,'[1]DATA Engine'!$A$3:$H$800,4,FALSE),"")</f>
        <v/>
      </c>
      <c r="E347" s="20" t="str">
        <f>IFERROR(VLOOKUP([1]DATA!W338,'[1]DATA Engine'!$A$3:$H$800,5,FALSE),"")</f>
        <v/>
      </c>
      <c r="F347" s="18" t="str">
        <f>IFERROR(VLOOKUP([1]DATA!W338,'[1]DATA Engine'!$A$3:$H$800,6,FALSE),"")</f>
        <v/>
      </c>
      <c r="G347" s="18" t="str">
        <f>IFERROR(VLOOKUP([1]DATA!W338,'[1]DATA Engine'!$A$3:$H$800,7,FALSE),"")</f>
        <v/>
      </c>
      <c r="H347" s="18" t="str">
        <f>IFERROR(IF(ISNUMBER(SEARCH("GOW",VLOOKUP([1]DATA!W338,'[1]DATA Engine'!$A$3:$H$800,8,FALSE))),"GOW",""),"")</f>
        <v/>
      </c>
      <c r="I347" s="26"/>
      <c r="J347" s="24"/>
      <c r="K347" s="24"/>
      <c r="L347" s="24"/>
      <c r="M347" s="24"/>
      <c r="N347" s="24"/>
      <c r="O347" s="24"/>
      <c r="P347" s="25"/>
      <c r="Q347" s="1"/>
    </row>
    <row r="348" spans="2:17" ht="15">
      <c r="B348" s="18" t="str">
        <f>IF(C348="","",VLOOKUP([1]DATA!W339,'[1]DATA Engine'!$A$3:$H$800,2,FALSE))</f>
        <v/>
      </c>
      <c r="C348" s="19" t="str">
        <f>IFERROR(VLOOKUP([1]DATA!W339,'[1]DATA Engine'!$A$3:$H$800,3,FALSE),"")</f>
        <v/>
      </c>
      <c r="D348" s="20" t="str">
        <f>IFERROR(VLOOKUP([1]DATA!W339,'[1]DATA Engine'!$A$3:$H$800,4,FALSE),"")</f>
        <v/>
      </c>
      <c r="E348" s="20" t="str">
        <f>IFERROR(VLOOKUP([1]DATA!W339,'[1]DATA Engine'!$A$3:$H$800,5,FALSE),"")</f>
        <v/>
      </c>
      <c r="F348" s="18" t="str">
        <f>IFERROR(VLOOKUP([1]DATA!W339,'[1]DATA Engine'!$A$3:$H$800,6,FALSE),"")</f>
        <v/>
      </c>
      <c r="G348" s="18" t="str">
        <f>IFERROR(VLOOKUP([1]DATA!W339,'[1]DATA Engine'!$A$3:$H$800,7,FALSE),"")</f>
        <v/>
      </c>
      <c r="H348" s="18" t="str">
        <f>IFERROR(IF(ISNUMBER(SEARCH("GOW",VLOOKUP([1]DATA!W339,'[1]DATA Engine'!$A$3:$H$800,8,FALSE))),"GOW",""),"")</f>
        <v/>
      </c>
      <c r="I348" s="26"/>
      <c r="J348" s="24"/>
      <c r="K348" s="24"/>
      <c r="L348" s="24"/>
      <c r="M348" s="24"/>
      <c r="N348" s="24"/>
      <c r="O348" s="24"/>
      <c r="P348" s="25"/>
      <c r="Q348" s="1"/>
    </row>
    <row r="349" spans="2:17" ht="15">
      <c r="B349" s="18" t="str">
        <f>IF(C349="","",VLOOKUP([1]DATA!W340,'[1]DATA Engine'!$A$3:$H$800,2,FALSE))</f>
        <v/>
      </c>
      <c r="C349" s="19" t="str">
        <f>IFERROR(VLOOKUP([1]DATA!W340,'[1]DATA Engine'!$A$3:$H$800,3,FALSE),"")</f>
        <v/>
      </c>
      <c r="D349" s="20" t="str">
        <f>IFERROR(VLOOKUP([1]DATA!W340,'[1]DATA Engine'!$A$3:$H$800,4,FALSE),"")</f>
        <v/>
      </c>
      <c r="E349" s="20" t="str">
        <f>IFERROR(VLOOKUP([1]DATA!W340,'[1]DATA Engine'!$A$3:$H$800,5,FALSE),"")</f>
        <v/>
      </c>
      <c r="F349" s="18" t="str">
        <f>IFERROR(VLOOKUP([1]DATA!W340,'[1]DATA Engine'!$A$3:$H$800,6,FALSE),"")</f>
        <v/>
      </c>
      <c r="G349" s="18" t="str">
        <f>IFERROR(VLOOKUP([1]DATA!W340,'[1]DATA Engine'!$A$3:$H$800,7,FALSE),"")</f>
        <v/>
      </c>
      <c r="H349" s="18" t="str">
        <f>IFERROR(IF(ISNUMBER(SEARCH("GOW",VLOOKUP([1]DATA!W340,'[1]DATA Engine'!$A$3:$H$800,8,FALSE))),"GOW",""),"")</f>
        <v/>
      </c>
      <c r="I349" s="26"/>
      <c r="J349" s="24"/>
      <c r="K349" s="24"/>
      <c r="L349" s="24"/>
      <c r="M349" s="24"/>
      <c r="N349" s="24"/>
      <c r="O349" s="24"/>
      <c r="P349" s="25"/>
      <c r="Q349" s="1"/>
    </row>
    <row r="350" spans="2:17" ht="15">
      <c r="B350" s="18" t="str">
        <f>IF(C350="","",VLOOKUP([1]DATA!W341,'[1]DATA Engine'!$A$3:$H$800,2,FALSE))</f>
        <v/>
      </c>
      <c r="C350" s="19" t="str">
        <f>IFERROR(VLOOKUP([1]DATA!W341,'[1]DATA Engine'!$A$3:$H$800,3,FALSE),"")</f>
        <v/>
      </c>
      <c r="D350" s="20" t="str">
        <f>IFERROR(VLOOKUP([1]DATA!W341,'[1]DATA Engine'!$A$3:$H$800,4,FALSE),"")</f>
        <v/>
      </c>
      <c r="E350" s="20" t="str">
        <f>IFERROR(VLOOKUP([1]DATA!W341,'[1]DATA Engine'!$A$3:$H$800,5,FALSE),"")</f>
        <v/>
      </c>
      <c r="F350" s="18" t="str">
        <f>IFERROR(VLOOKUP([1]DATA!W341,'[1]DATA Engine'!$A$3:$H$800,6,FALSE),"")</f>
        <v/>
      </c>
      <c r="G350" s="18" t="str">
        <f>IFERROR(VLOOKUP([1]DATA!W341,'[1]DATA Engine'!$A$3:$H$800,7,FALSE),"")</f>
        <v/>
      </c>
      <c r="H350" s="18" t="str">
        <f>IFERROR(IF(ISNUMBER(SEARCH("GOW",VLOOKUP([1]DATA!W341,'[1]DATA Engine'!$A$3:$H$800,8,FALSE))),"GOW",""),"")</f>
        <v/>
      </c>
      <c r="I350" s="26"/>
      <c r="J350" s="24"/>
      <c r="K350" s="24"/>
      <c r="L350" s="24"/>
      <c r="M350" s="24"/>
      <c r="N350" s="24"/>
      <c r="O350" s="24"/>
      <c r="P350" s="25"/>
      <c r="Q350" s="1"/>
    </row>
    <row r="351" spans="2:17" ht="15">
      <c r="B351" s="18" t="str">
        <f>IF(C351="","",VLOOKUP([1]DATA!W342,'[1]DATA Engine'!$A$3:$H$800,2,FALSE))</f>
        <v/>
      </c>
      <c r="C351" s="19" t="str">
        <f>IFERROR(VLOOKUP([1]DATA!W342,'[1]DATA Engine'!$A$3:$H$800,3,FALSE),"")</f>
        <v/>
      </c>
      <c r="D351" s="20" t="str">
        <f>IFERROR(VLOOKUP([1]DATA!W342,'[1]DATA Engine'!$A$3:$H$800,4,FALSE),"")</f>
        <v/>
      </c>
      <c r="E351" s="20" t="str">
        <f>IFERROR(VLOOKUP([1]DATA!W342,'[1]DATA Engine'!$A$3:$H$800,5,FALSE),"")</f>
        <v/>
      </c>
      <c r="F351" s="18" t="str">
        <f>IFERROR(VLOOKUP([1]DATA!W342,'[1]DATA Engine'!$A$3:$H$800,6,FALSE),"")</f>
        <v/>
      </c>
      <c r="G351" s="18" t="str">
        <f>IFERROR(VLOOKUP([1]DATA!W342,'[1]DATA Engine'!$A$3:$H$800,7,FALSE),"")</f>
        <v/>
      </c>
      <c r="H351" s="18" t="str">
        <f>IFERROR(IF(ISNUMBER(SEARCH("GOW",VLOOKUP([1]DATA!W342,'[1]DATA Engine'!$A$3:$H$800,8,FALSE))),"GOW",""),"")</f>
        <v/>
      </c>
      <c r="I351" s="26"/>
      <c r="J351" s="24"/>
      <c r="K351" s="24"/>
      <c r="L351" s="24"/>
      <c r="M351" s="24"/>
      <c r="N351" s="24"/>
      <c r="O351" s="24"/>
      <c r="P351" s="25"/>
      <c r="Q351" s="1"/>
    </row>
    <row r="352" spans="2:17" ht="15">
      <c r="B352" s="18" t="str">
        <f>IF(C352="","",VLOOKUP([1]DATA!W343,'[1]DATA Engine'!$A$3:$H$800,2,FALSE))</f>
        <v/>
      </c>
      <c r="C352" s="19" t="str">
        <f>IFERROR(VLOOKUP([1]DATA!W343,'[1]DATA Engine'!$A$3:$H$800,3,FALSE),"")</f>
        <v/>
      </c>
      <c r="D352" s="20" t="str">
        <f>IFERROR(VLOOKUP([1]DATA!W343,'[1]DATA Engine'!$A$3:$H$800,4,FALSE),"")</f>
        <v/>
      </c>
      <c r="E352" s="20" t="str">
        <f>IFERROR(VLOOKUP([1]DATA!W343,'[1]DATA Engine'!$A$3:$H$800,5,FALSE),"")</f>
        <v/>
      </c>
      <c r="F352" s="18" t="str">
        <f>IFERROR(VLOOKUP([1]DATA!W343,'[1]DATA Engine'!$A$3:$H$800,6,FALSE),"")</f>
        <v/>
      </c>
      <c r="G352" s="18" t="str">
        <f>IFERROR(VLOOKUP([1]DATA!W343,'[1]DATA Engine'!$A$3:$H$800,7,FALSE),"")</f>
        <v/>
      </c>
      <c r="H352" s="18" t="str">
        <f>IFERROR(IF(ISNUMBER(SEARCH("GOW",VLOOKUP([1]DATA!W343,'[1]DATA Engine'!$A$3:$H$800,8,FALSE))),"GOW",""),"")</f>
        <v/>
      </c>
      <c r="I352" s="26"/>
      <c r="J352" s="24"/>
      <c r="K352" s="24"/>
      <c r="L352" s="24"/>
      <c r="M352" s="24"/>
      <c r="N352" s="24"/>
      <c r="O352" s="24"/>
      <c r="P352" s="25"/>
      <c r="Q352" s="1"/>
    </row>
    <row r="353" spans="2:17" ht="15">
      <c r="B353" s="18" t="str">
        <f>IF(C353="","",VLOOKUP([1]DATA!W344,'[1]DATA Engine'!$A$3:$H$800,2,FALSE))</f>
        <v/>
      </c>
      <c r="C353" s="19" t="str">
        <f>IFERROR(VLOOKUP([1]DATA!W344,'[1]DATA Engine'!$A$3:$H$800,3,FALSE),"")</f>
        <v/>
      </c>
      <c r="D353" s="20" t="str">
        <f>IFERROR(VLOOKUP([1]DATA!W344,'[1]DATA Engine'!$A$3:$H$800,4,FALSE),"")</f>
        <v/>
      </c>
      <c r="E353" s="20" t="str">
        <f>IFERROR(VLOOKUP([1]DATA!W344,'[1]DATA Engine'!$A$3:$H$800,5,FALSE),"")</f>
        <v/>
      </c>
      <c r="F353" s="18" t="str">
        <f>IFERROR(VLOOKUP([1]DATA!W344,'[1]DATA Engine'!$A$3:$H$800,6,FALSE),"")</f>
        <v/>
      </c>
      <c r="G353" s="18" t="str">
        <f>IFERROR(VLOOKUP([1]DATA!W344,'[1]DATA Engine'!$A$3:$H$800,7,FALSE),"")</f>
        <v/>
      </c>
      <c r="H353" s="18" t="str">
        <f>IFERROR(IF(ISNUMBER(SEARCH("GOW",VLOOKUP([1]DATA!W344,'[1]DATA Engine'!$A$3:$H$800,8,FALSE))),"GOW",""),"")</f>
        <v/>
      </c>
      <c r="I353" s="26"/>
      <c r="J353" s="24"/>
      <c r="K353" s="24"/>
      <c r="L353" s="24"/>
      <c r="M353" s="24"/>
      <c r="N353" s="24"/>
      <c r="O353" s="24"/>
      <c r="P353" s="25"/>
      <c r="Q353" s="1"/>
    </row>
    <row r="354" spans="2:17" ht="15">
      <c r="B354" s="18" t="str">
        <f>IF(C354="","",VLOOKUP([1]DATA!W345,'[1]DATA Engine'!$A$3:$H$800,2,FALSE))</f>
        <v/>
      </c>
      <c r="C354" s="19" t="str">
        <f>IFERROR(VLOOKUP([1]DATA!W345,'[1]DATA Engine'!$A$3:$H$800,3,FALSE),"")</f>
        <v/>
      </c>
      <c r="D354" s="20" t="str">
        <f>IFERROR(VLOOKUP([1]DATA!W345,'[1]DATA Engine'!$A$3:$H$800,4,FALSE),"")</f>
        <v/>
      </c>
      <c r="E354" s="20" t="str">
        <f>IFERROR(VLOOKUP([1]DATA!W345,'[1]DATA Engine'!$A$3:$H$800,5,FALSE),"")</f>
        <v/>
      </c>
      <c r="F354" s="18" t="str">
        <f>IFERROR(VLOOKUP([1]DATA!W345,'[1]DATA Engine'!$A$3:$H$800,6,FALSE),"")</f>
        <v/>
      </c>
      <c r="G354" s="18" t="str">
        <f>IFERROR(VLOOKUP([1]DATA!W345,'[1]DATA Engine'!$A$3:$H$800,7,FALSE),"")</f>
        <v/>
      </c>
      <c r="H354" s="18" t="str">
        <f>IFERROR(IF(ISNUMBER(SEARCH("GOW",VLOOKUP([1]DATA!W345,'[1]DATA Engine'!$A$3:$H$800,8,FALSE))),"GOW",""),"")</f>
        <v/>
      </c>
      <c r="I354" s="26"/>
      <c r="J354" s="24"/>
      <c r="K354" s="24"/>
      <c r="L354" s="24"/>
      <c r="M354" s="24"/>
      <c r="N354" s="24"/>
      <c r="O354" s="24"/>
      <c r="P354" s="25"/>
      <c r="Q354" s="1"/>
    </row>
    <row r="355" spans="2:17" ht="15">
      <c r="B355" s="18" t="str">
        <f>IF(C355="","",VLOOKUP([1]DATA!W346,'[1]DATA Engine'!$A$3:$H$800,2,FALSE))</f>
        <v/>
      </c>
      <c r="C355" s="19" t="str">
        <f>IFERROR(VLOOKUP([1]DATA!W346,'[1]DATA Engine'!$A$3:$H$800,3,FALSE),"")</f>
        <v/>
      </c>
      <c r="D355" s="20" t="str">
        <f>IFERROR(VLOOKUP([1]DATA!W346,'[1]DATA Engine'!$A$3:$H$800,4,FALSE),"")</f>
        <v/>
      </c>
      <c r="E355" s="20" t="str">
        <f>IFERROR(VLOOKUP([1]DATA!W346,'[1]DATA Engine'!$A$3:$H$800,5,FALSE),"")</f>
        <v/>
      </c>
      <c r="F355" s="18" t="str">
        <f>IFERROR(VLOOKUP([1]DATA!W346,'[1]DATA Engine'!$A$3:$H$800,6,FALSE),"")</f>
        <v/>
      </c>
      <c r="G355" s="18" t="str">
        <f>IFERROR(VLOOKUP([1]DATA!W346,'[1]DATA Engine'!$A$3:$H$800,7,FALSE),"")</f>
        <v/>
      </c>
      <c r="H355" s="18" t="str">
        <f>IFERROR(IF(ISNUMBER(SEARCH("GOW",VLOOKUP([1]DATA!W346,'[1]DATA Engine'!$A$3:$H$800,8,FALSE))),"GOW",""),"")</f>
        <v/>
      </c>
      <c r="I355" s="26"/>
      <c r="J355" s="24"/>
      <c r="K355" s="24"/>
      <c r="L355" s="24"/>
      <c r="M355" s="24"/>
      <c r="N355" s="24"/>
      <c r="O355" s="24"/>
      <c r="P355" s="25"/>
      <c r="Q355" s="1"/>
    </row>
    <row r="356" spans="2:17" ht="15">
      <c r="B356" s="18" t="str">
        <f>IF(C356="","",VLOOKUP([1]DATA!W347,'[1]DATA Engine'!$A$3:$H$800,2,FALSE))</f>
        <v/>
      </c>
      <c r="C356" s="19" t="str">
        <f>IFERROR(VLOOKUP([1]DATA!W347,'[1]DATA Engine'!$A$3:$H$800,3,FALSE),"")</f>
        <v/>
      </c>
      <c r="D356" s="20" t="str">
        <f>IFERROR(VLOOKUP([1]DATA!W347,'[1]DATA Engine'!$A$3:$H$800,4,FALSE),"")</f>
        <v/>
      </c>
      <c r="E356" s="20" t="str">
        <f>IFERROR(VLOOKUP([1]DATA!W347,'[1]DATA Engine'!$A$3:$H$800,5,FALSE),"")</f>
        <v/>
      </c>
      <c r="F356" s="18" t="str">
        <f>IFERROR(VLOOKUP([1]DATA!W347,'[1]DATA Engine'!$A$3:$H$800,6,FALSE),"")</f>
        <v/>
      </c>
      <c r="G356" s="18" t="str">
        <f>IFERROR(VLOOKUP([1]DATA!W347,'[1]DATA Engine'!$A$3:$H$800,7,FALSE),"")</f>
        <v/>
      </c>
      <c r="H356" s="18" t="str">
        <f>IFERROR(IF(ISNUMBER(SEARCH("GOW",VLOOKUP([1]DATA!W347,'[1]DATA Engine'!$A$3:$H$800,8,FALSE))),"GOW",""),"")</f>
        <v/>
      </c>
      <c r="I356" s="26"/>
      <c r="J356" s="24"/>
      <c r="K356" s="24"/>
      <c r="L356" s="24"/>
      <c r="M356" s="24"/>
      <c r="N356" s="24"/>
      <c r="O356" s="24"/>
      <c r="P356" s="25"/>
      <c r="Q356" s="1"/>
    </row>
    <row r="357" spans="2:17" ht="15">
      <c r="B357" s="18" t="str">
        <f>IF(C357="","",VLOOKUP([1]DATA!W348,'[1]DATA Engine'!$A$3:$H$800,2,FALSE))</f>
        <v/>
      </c>
      <c r="C357" s="19" t="str">
        <f>IFERROR(VLOOKUP([1]DATA!W348,'[1]DATA Engine'!$A$3:$H$800,3,FALSE),"")</f>
        <v/>
      </c>
      <c r="D357" s="20" t="str">
        <f>IFERROR(VLOOKUP([1]DATA!W348,'[1]DATA Engine'!$A$3:$H$800,4,FALSE),"")</f>
        <v/>
      </c>
      <c r="E357" s="20" t="str">
        <f>IFERROR(VLOOKUP([1]DATA!W348,'[1]DATA Engine'!$A$3:$H$800,5,FALSE),"")</f>
        <v/>
      </c>
      <c r="F357" s="18" t="str">
        <f>IFERROR(VLOOKUP([1]DATA!W348,'[1]DATA Engine'!$A$3:$H$800,6,FALSE),"")</f>
        <v/>
      </c>
      <c r="G357" s="18" t="str">
        <f>IFERROR(VLOOKUP([1]DATA!W348,'[1]DATA Engine'!$A$3:$H$800,7,FALSE),"")</f>
        <v/>
      </c>
      <c r="H357" s="18" t="str">
        <f>IFERROR(IF(ISNUMBER(SEARCH("GOW",VLOOKUP([1]DATA!W348,'[1]DATA Engine'!$A$3:$H$800,8,FALSE))),"GOW",""),"")</f>
        <v/>
      </c>
      <c r="I357" s="26"/>
      <c r="J357" s="24"/>
      <c r="K357" s="24"/>
      <c r="L357" s="24"/>
      <c r="M357" s="24"/>
      <c r="N357" s="24"/>
      <c r="O357" s="24"/>
      <c r="P357" s="25"/>
      <c r="Q357" s="1"/>
    </row>
    <row r="358" spans="2:17" ht="15">
      <c r="B358" s="18" t="str">
        <f>IF(C358="","",VLOOKUP([1]DATA!W349,'[1]DATA Engine'!$A$3:$H$800,2,FALSE))</f>
        <v/>
      </c>
      <c r="C358" s="19" t="str">
        <f>IFERROR(VLOOKUP([1]DATA!W349,'[1]DATA Engine'!$A$3:$H$800,3,FALSE),"")</f>
        <v/>
      </c>
      <c r="D358" s="20" t="str">
        <f>IFERROR(VLOOKUP([1]DATA!W349,'[1]DATA Engine'!$A$3:$H$800,4,FALSE),"")</f>
        <v/>
      </c>
      <c r="E358" s="20" t="str">
        <f>IFERROR(VLOOKUP([1]DATA!W349,'[1]DATA Engine'!$A$3:$H$800,5,FALSE),"")</f>
        <v/>
      </c>
      <c r="F358" s="18" t="str">
        <f>IFERROR(VLOOKUP([1]DATA!W349,'[1]DATA Engine'!$A$3:$H$800,6,FALSE),"")</f>
        <v/>
      </c>
      <c r="G358" s="18" t="str">
        <f>IFERROR(VLOOKUP([1]DATA!W349,'[1]DATA Engine'!$A$3:$H$800,7,FALSE),"")</f>
        <v/>
      </c>
      <c r="H358" s="18" t="str">
        <f>IFERROR(IF(ISNUMBER(SEARCH("GOW",VLOOKUP([1]DATA!W349,'[1]DATA Engine'!$A$3:$H$800,8,FALSE))),"GOW",""),"")</f>
        <v/>
      </c>
      <c r="I358" s="26"/>
      <c r="J358" s="24"/>
      <c r="K358" s="24"/>
      <c r="L358" s="24"/>
      <c r="M358" s="24"/>
      <c r="N358" s="24"/>
      <c r="O358" s="24"/>
      <c r="P358" s="25"/>
      <c r="Q358" s="1"/>
    </row>
    <row r="359" spans="2:17" ht="15">
      <c r="B359" s="18" t="str">
        <f>IF(C359="","",VLOOKUP([1]DATA!W350,'[1]DATA Engine'!$A$3:$H$800,2,FALSE))</f>
        <v/>
      </c>
      <c r="C359" s="19" t="str">
        <f>IFERROR(VLOOKUP([1]DATA!W350,'[1]DATA Engine'!$A$3:$H$800,3,FALSE),"")</f>
        <v/>
      </c>
      <c r="D359" s="20" t="str">
        <f>IFERROR(VLOOKUP([1]DATA!W350,'[1]DATA Engine'!$A$3:$H$800,4,FALSE),"")</f>
        <v/>
      </c>
      <c r="E359" s="20" t="str">
        <f>IFERROR(VLOOKUP([1]DATA!W350,'[1]DATA Engine'!$A$3:$H$800,5,FALSE),"")</f>
        <v/>
      </c>
      <c r="F359" s="18" t="str">
        <f>IFERROR(VLOOKUP([1]DATA!W350,'[1]DATA Engine'!$A$3:$H$800,6,FALSE),"")</f>
        <v/>
      </c>
      <c r="G359" s="18" t="str">
        <f>IFERROR(VLOOKUP([1]DATA!W350,'[1]DATA Engine'!$A$3:$H$800,7,FALSE),"")</f>
        <v/>
      </c>
      <c r="H359" s="18" t="str">
        <f>IFERROR(IF(ISNUMBER(SEARCH("GOW",VLOOKUP([1]DATA!W350,'[1]DATA Engine'!$A$3:$H$800,8,FALSE))),"GOW",""),"")</f>
        <v/>
      </c>
      <c r="I359" s="26"/>
      <c r="J359" s="24"/>
      <c r="K359" s="24"/>
      <c r="L359" s="24"/>
      <c r="M359" s="24"/>
      <c r="N359" s="24"/>
      <c r="O359" s="24"/>
      <c r="P359" s="25"/>
      <c r="Q359" s="1"/>
    </row>
    <row r="360" spans="2:17" ht="15">
      <c r="B360" s="18" t="str">
        <f>IF(C360="","",VLOOKUP([1]DATA!W351,'[1]DATA Engine'!$A$3:$H$800,2,FALSE))</f>
        <v/>
      </c>
      <c r="C360" s="19" t="str">
        <f>IFERROR(VLOOKUP([1]DATA!W351,'[1]DATA Engine'!$A$3:$H$800,3,FALSE),"")</f>
        <v/>
      </c>
      <c r="D360" s="20" t="str">
        <f>IFERROR(VLOOKUP([1]DATA!W351,'[1]DATA Engine'!$A$3:$H$800,4,FALSE),"")</f>
        <v/>
      </c>
      <c r="E360" s="20" t="str">
        <f>IFERROR(VLOOKUP([1]DATA!W351,'[1]DATA Engine'!$A$3:$H$800,5,FALSE),"")</f>
        <v/>
      </c>
      <c r="F360" s="18" t="str">
        <f>IFERROR(VLOOKUP([1]DATA!W351,'[1]DATA Engine'!$A$3:$H$800,6,FALSE),"")</f>
        <v/>
      </c>
      <c r="G360" s="18" t="str">
        <f>IFERROR(VLOOKUP([1]DATA!W351,'[1]DATA Engine'!$A$3:$H$800,7,FALSE),"")</f>
        <v/>
      </c>
      <c r="H360" s="18" t="str">
        <f>IFERROR(IF(ISNUMBER(SEARCH("GOW",VLOOKUP([1]DATA!W351,'[1]DATA Engine'!$A$3:$H$800,8,FALSE))),"GOW",""),"")</f>
        <v/>
      </c>
      <c r="I360" s="26"/>
      <c r="J360" s="24"/>
      <c r="K360" s="24"/>
      <c r="L360" s="24"/>
      <c r="M360" s="24"/>
      <c r="N360" s="24"/>
      <c r="O360" s="24"/>
      <c r="P360" s="25"/>
      <c r="Q360" s="1"/>
    </row>
    <row r="361" spans="2:17" ht="15">
      <c r="B361" s="18" t="str">
        <f>IF(C361="","",VLOOKUP([1]DATA!W352,'[1]DATA Engine'!$A$3:$H$800,2,FALSE))</f>
        <v/>
      </c>
      <c r="C361" s="19" t="str">
        <f>IFERROR(VLOOKUP([1]DATA!W352,'[1]DATA Engine'!$A$3:$H$800,3,FALSE),"")</f>
        <v/>
      </c>
      <c r="D361" s="20" t="str">
        <f>IFERROR(VLOOKUP([1]DATA!W352,'[1]DATA Engine'!$A$3:$H$800,4,FALSE),"")</f>
        <v/>
      </c>
      <c r="E361" s="20" t="str">
        <f>IFERROR(VLOOKUP([1]DATA!W352,'[1]DATA Engine'!$A$3:$H$800,5,FALSE),"")</f>
        <v/>
      </c>
      <c r="F361" s="18" t="str">
        <f>IFERROR(VLOOKUP([1]DATA!W352,'[1]DATA Engine'!$A$3:$H$800,6,FALSE),"")</f>
        <v/>
      </c>
      <c r="G361" s="18" t="str">
        <f>IFERROR(VLOOKUP([1]DATA!W352,'[1]DATA Engine'!$A$3:$H$800,7,FALSE),"")</f>
        <v/>
      </c>
      <c r="H361" s="18" t="str">
        <f>IFERROR(IF(ISNUMBER(SEARCH("GOW",VLOOKUP([1]DATA!W352,'[1]DATA Engine'!$A$3:$H$800,8,FALSE))),"GOW",""),"")</f>
        <v/>
      </c>
      <c r="I361" s="26"/>
      <c r="J361" s="24"/>
      <c r="K361" s="24"/>
      <c r="L361" s="24"/>
      <c r="M361" s="24"/>
      <c r="N361" s="24"/>
      <c r="O361" s="24"/>
      <c r="P361" s="25"/>
      <c r="Q361" s="1"/>
    </row>
    <row r="362" spans="2:17" ht="15">
      <c r="B362" s="18" t="str">
        <f>IF(C362="","",VLOOKUP([1]DATA!W353,'[1]DATA Engine'!$A$3:$H$800,2,FALSE))</f>
        <v/>
      </c>
      <c r="C362" s="19" t="str">
        <f>IFERROR(VLOOKUP([1]DATA!W353,'[1]DATA Engine'!$A$3:$H$800,3,FALSE),"")</f>
        <v/>
      </c>
      <c r="D362" s="20" t="str">
        <f>IFERROR(VLOOKUP([1]DATA!W353,'[1]DATA Engine'!$A$3:$H$800,4,FALSE),"")</f>
        <v/>
      </c>
      <c r="E362" s="20" t="str">
        <f>IFERROR(VLOOKUP([1]DATA!W353,'[1]DATA Engine'!$A$3:$H$800,5,FALSE),"")</f>
        <v/>
      </c>
      <c r="F362" s="18" t="str">
        <f>IFERROR(VLOOKUP([1]DATA!W353,'[1]DATA Engine'!$A$3:$H$800,6,FALSE),"")</f>
        <v/>
      </c>
      <c r="G362" s="18" t="str">
        <f>IFERROR(VLOOKUP([1]DATA!W353,'[1]DATA Engine'!$A$3:$H$800,7,FALSE),"")</f>
        <v/>
      </c>
      <c r="H362" s="18" t="str">
        <f>IFERROR(IF(ISNUMBER(SEARCH("GOW",VLOOKUP([1]DATA!W353,'[1]DATA Engine'!$A$3:$H$800,8,FALSE))),"GOW",""),"")</f>
        <v/>
      </c>
      <c r="I362" s="26"/>
      <c r="J362" s="24"/>
      <c r="K362" s="24"/>
      <c r="L362" s="24"/>
      <c r="M362" s="24"/>
      <c r="N362" s="24"/>
      <c r="O362" s="24"/>
      <c r="P362" s="25"/>
      <c r="Q362" s="1"/>
    </row>
    <row r="363" spans="2:17" ht="15">
      <c r="B363" s="18" t="str">
        <f>IF(C363="","",VLOOKUP([1]DATA!W354,'[1]DATA Engine'!$A$3:$H$800,2,FALSE))</f>
        <v/>
      </c>
      <c r="C363" s="19" t="str">
        <f>IFERROR(VLOOKUP([1]DATA!W354,'[1]DATA Engine'!$A$3:$H$800,3,FALSE),"")</f>
        <v/>
      </c>
      <c r="D363" s="20" t="str">
        <f>IFERROR(VLOOKUP([1]DATA!W354,'[1]DATA Engine'!$A$3:$H$800,4,FALSE),"")</f>
        <v/>
      </c>
      <c r="E363" s="20" t="str">
        <f>IFERROR(VLOOKUP([1]DATA!W354,'[1]DATA Engine'!$A$3:$H$800,5,FALSE),"")</f>
        <v/>
      </c>
      <c r="F363" s="18" t="str">
        <f>IFERROR(VLOOKUP([1]DATA!W354,'[1]DATA Engine'!$A$3:$H$800,6,FALSE),"")</f>
        <v/>
      </c>
      <c r="G363" s="18" t="str">
        <f>IFERROR(VLOOKUP([1]DATA!W354,'[1]DATA Engine'!$A$3:$H$800,7,FALSE),"")</f>
        <v/>
      </c>
      <c r="H363" s="18" t="str">
        <f>IFERROR(IF(ISNUMBER(SEARCH("GOW",VLOOKUP([1]DATA!W354,'[1]DATA Engine'!$A$3:$H$800,8,FALSE))),"GOW",""),"")</f>
        <v/>
      </c>
      <c r="I363" s="26"/>
      <c r="J363" s="24"/>
      <c r="K363" s="24"/>
      <c r="L363" s="24"/>
      <c r="M363" s="24"/>
      <c r="N363" s="24"/>
      <c r="O363" s="24"/>
      <c r="P363" s="25"/>
      <c r="Q363" s="1"/>
    </row>
    <row r="364" spans="2:17" ht="15">
      <c r="B364" s="18" t="str">
        <f>IF(C364="","",VLOOKUP([1]DATA!W355,'[1]DATA Engine'!$A$3:$H$800,2,FALSE))</f>
        <v/>
      </c>
      <c r="C364" s="19" t="str">
        <f>IFERROR(VLOOKUP([1]DATA!W355,'[1]DATA Engine'!$A$3:$H$800,3,FALSE),"")</f>
        <v/>
      </c>
      <c r="D364" s="20" t="str">
        <f>IFERROR(VLOOKUP([1]DATA!W355,'[1]DATA Engine'!$A$3:$H$800,4,FALSE),"")</f>
        <v/>
      </c>
      <c r="E364" s="20" t="str">
        <f>IFERROR(VLOOKUP([1]DATA!W355,'[1]DATA Engine'!$A$3:$H$800,5,FALSE),"")</f>
        <v/>
      </c>
      <c r="F364" s="18" t="str">
        <f>IFERROR(VLOOKUP([1]DATA!W355,'[1]DATA Engine'!$A$3:$H$800,6,FALSE),"")</f>
        <v/>
      </c>
      <c r="G364" s="18" t="str">
        <f>IFERROR(VLOOKUP([1]DATA!W355,'[1]DATA Engine'!$A$3:$H$800,7,FALSE),"")</f>
        <v/>
      </c>
      <c r="H364" s="18" t="str">
        <f>IFERROR(IF(ISNUMBER(SEARCH("GOW",VLOOKUP([1]DATA!W355,'[1]DATA Engine'!$A$3:$H$800,8,FALSE))),"GOW",""),"")</f>
        <v/>
      </c>
      <c r="I364" s="26"/>
      <c r="J364" s="24"/>
      <c r="K364" s="24"/>
      <c r="L364" s="24"/>
      <c r="M364" s="24"/>
      <c r="N364" s="24"/>
      <c r="O364" s="24"/>
      <c r="P364" s="25"/>
      <c r="Q364" s="1"/>
    </row>
    <row r="365" spans="2:17" ht="15">
      <c r="B365" s="18" t="str">
        <f>IF(C365="","",VLOOKUP([1]DATA!W356,'[1]DATA Engine'!$A$3:$H$800,2,FALSE))</f>
        <v/>
      </c>
      <c r="C365" s="19" t="str">
        <f>IFERROR(VLOOKUP([1]DATA!W356,'[1]DATA Engine'!$A$3:$H$800,3,FALSE),"")</f>
        <v/>
      </c>
      <c r="D365" s="20" t="str">
        <f>IFERROR(VLOOKUP([1]DATA!W356,'[1]DATA Engine'!$A$3:$H$800,4,FALSE),"")</f>
        <v/>
      </c>
      <c r="E365" s="20" t="str">
        <f>IFERROR(VLOOKUP([1]DATA!W356,'[1]DATA Engine'!$A$3:$H$800,5,FALSE),"")</f>
        <v/>
      </c>
      <c r="F365" s="18" t="str">
        <f>IFERROR(VLOOKUP([1]DATA!W356,'[1]DATA Engine'!$A$3:$H$800,6,FALSE),"")</f>
        <v/>
      </c>
      <c r="G365" s="18" t="str">
        <f>IFERROR(VLOOKUP([1]DATA!W356,'[1]DATA Engine'!$A$3:$H$800,7,FALSE),"")</f>
        <v/>
      </c>
      <c r="H365" s="18" t="str">
        <f>IFERROR(IF(ISNUMBER(SEARCH("GOW",VLOOKUP([1]DATA!W356,'[1]DATA Engine'!$A$3:$H$800,8,FALSE))),"GOW",""),"")</f>
        <v/>
      </c>
      <c r="I365" s="26"/>
      <c r="J365" s="24"/>
      <c r="K365" s="24"/>
      <c r="L365" s="24"/>
      <c r="M365" s="24"/>
      <c r="N365" s="24"/>
      <c r="O365" s="24"/>
      <c r="P365" s="25"/>
      <c r="Q365" s="1"/>
    </row>
    <row r="366" spans="2:17" ht="15">
      <c r="B366" s="18" t="str">
        <f>IF(C366="","",VLOOKUP([1]DATA!W357,'[1]DATA Engine'!$A$3:$H$800,2,FALSE))</f>
        <v/>
      </c>
      <c r="C366" s="19" t="str">
        <f>IFERROR(VLOOKUP([1]DATA!W357,'[1]DATA Engine'!$A$3:$H$800,3,FALSE),"")</f>
        <v/>
      </c>
      <c r="D366" s="20" t="str">
        <f>IFERROR(VLOOKUP([1]DATA!W357,'[1]DATA Engine'!$A$3:$H$800,4,FALSE),"")</f>
        <v/>
      </c>
      <c r="E366" s="20" t="str">
        <f>IFERROR(VLOOKUP([1]DATA!W357,'[1]DATA Engine'!$A$3:$H$800,5,FALSE),"")</f>
        <v/>
      </c>
      <c r="F366" s="18" t="str">
        <f>IFERROR(VLOOKUP([1]DATA!W357,'[1]DATA Engine'!$A$3:$H$800,6,FALSE),"")</f>
        <v/>
      </c>
      <c r="G366" s="18" t="str">
        <f>IFERROR(VLOOKUP([1]DATA!W357,'[1]DATA Engine'!$A$3:$H$800,7,FALSE),"")</f>
        <v/>
      </c>
      <c r="H366" s="18" t="str">
        <f>IFERROR(IF(ISNUMBER(SEARCH("GOW",VLOOKUP([1]DATA!W357,'[1]DATA Engine'!$A$3:$H$800,8,FALSE))),"GOW",""),"")</f>
        <v/>
      </c>
      <c r="I366" s="26"/>
      <c r="J366" s="24"/>
      <c r="K366" s="24"/>
      <c r="L366" s="24"/>
      <c r="M366" s="24"/>
      <c r="N366" s="24"/>
      <c r="O366" s="24"/>
      <c r="P366" s="25"/>
      <c r="Q366" s="1"/>
    </row>
    <row r="367" spans="2:17" ht="15">
      <c r="B367" s="18" t="str">
        <f>IF(C367="","",VLOOKUP([1]DATA!W358,'[1]DATA Engine'!$A$3:$H$800,2,FALSE))</f>
        <v/>
      </c>
      <c r="C367" s="19" t="str">
        <f>IFERROR(VLOOKUP([1]DATA!W358,'[1]DATA Engine'!$A$3:$H$800,3,FALSE),"")</f>
        <v/>
      </c>
      <c r="D367" s="20" t="str">
        <f>IFERROR(VLOOKUP([1]DATA!W358,'[1]DATA Engine'!$A$3:$H$800,4,FALSE),"")</f>
        <v/>
      </c>
      <c r="E367" s="20" t="str">
        <f>IFERROR(VLOOKUP([1]DATA!W358,'[1]DATA Engine'!$A$3:$H$800,5,FALSE),"")</f>
        <v/>
      </c>
      <c r="F367" s="18" t="str">
        <f>IFERROR(VLOOKUP([1]DATA!W358,'[1]DATA Engine'!$A$3:$H$800,6,FALSE),"")</f>
        <v/>
      </c>
      <c r="G367" s="18" t="str">
        <f>IFERROR(VLOOKUP([1]DATA!W358,'[1]DATA Engine'!$A$3:$H$800,7,FALSE),"")</f>
        <v/>
      </c>
      <c r="H367" s="18" t="str">
        <f>IFERROR(IF(ISNUMBER(SEARCH("GOW",VLOOKUP([1]DATA!W358,'[1]DATA Engine'!$A$3:$H$800,8,FALSE))),"GOW",""),"")</f>
        <v/>
      </c>
      <c r="I367" s="26"/>
      <c r="J367" s="24"/>
      <c r="K367" s="24"/>
      <c r="L367" s="24"/>
      <c r="M367" s="24"/>
      <c r="N367" s="24"/>
      <c r="O367" s="24"/>
      <c r="P367" s="25"/>
      <c r="Q367" s="1"/>
    </row>
    <row r="368" spans="2:17" ht="15">
      <c r="B368" s="18" t="str">
        <f>IF(C368="","",VLOOKUP([1]DATA!W359,'[1]DATA Engine'!$A$3:$H$800,2,FALSE))</f>
        <v/>
      </c>
      <c r="C368" s="19" t="str">
        <f>IFERROR(VLOOKUP([1]DATA!W359,'[1]DATA Engine'!$A$3:$H$800,3,FALSE),"")</f>
        <v/>
      </c>
      <c r="D368" s="20" t="str">
        <f>IFERROR(VLOOKUP([1]DATA!W359,'[1]DATA Engine'!$A$3:$H$800,4,FALSE),"")</f>
        <v/>
      </c>
      <c r="E368" s="20" t="str">
        <f>IFERROR(VLOOKUP([1]DATA!W359,'[1]DATA Engine'!$A$3:$H$800,5,FALSE),"")</f>
        <v/>
      </c>
      <c r="F368" s="18" t="str">
        <f>IFERROR(VLOOKUP([1]DATA!W359,'[1]DATA Engine'!$A$3:$H$800,6,FALSE),"")</f>
        <v/>
      </c>
      <c r="G368" s="18" t="str">
        <f>IFERROR(VLOOKUP([1]DATA!W359,'[1]DATA Engine'!$A$3:$H$800,7,FALSE),"")</f>
        <v/>
      </c>
      <c r="H368" s="18" t="str">
        <f>IFERROR(IF(ISNUMBER(SEARCH("GOW",VLOOKUP([1]DATA!W359,'[1]DATA Engine'!$A$3:$H$800,8,FALSE))),"GOW",""),"")</f>
        <v/>
      </c>
      <c r="I368" s="26"/>
      <c r="J368" s="24"/>
      <c r="K368" s="24"/>
      <c r="L368" s="24"/>
      <c r="M368" s="24"/>
      <c r="N368" s="24"/>
      <c r="O368" s="24"/>
      <c r="P368" s="25"/>
      <c r="Q368" s="1"/>
    </row>
    <row r="369" spans="2:17" ht="15">
      <c r="B369" s="18" t="str">
        <f>IF(C369="","",VLOOKUP([1]DATA!W360,'[1]DATA Engine'!$A$3:$H$800,2,FALSE))</f>
        <v/>
      </c>
      <c r="C369" s="19" t="str">
        <f>IFERROR(VLOOKUP([1]DATA!W360,'[1]DATA Engine'!$A$3:$H$800,3,FALSE),"")</f>
        <v/>
      </c>
      <c r="D369" s="20" t="str">
        <f>IFERROR(VLOOKUP([1]DATA!W360,'[1]DATA Engine'!$A$3:$H$800,4,FALSE),"")</f>
        <v/>
      </c>
      <c r="E369" s="20" t="str">
        <f>IFERROR(VLOOKUP([1]DATA!W360,'[1]DATA Engine'!$A$3:$H$800,5,FALSE),"")</f>
        <v/>
      </c>
      <c r="F369" s="18" t="str">
        <f>IFERROR(VLOOKUP([1]DATA!W360,'[1]DATA Engine'!$A$3:$H$800,6,FALSE),"")</f>
        <v/>
      </c>
      <c r="G369" s="18" t="str">
        <f>IFERROR(VLOOKUP([1]DATA!W360,'[1]DATA Engine'!$A$3:$H$800,7,FALSE),"")</f>
        <v/>
      </c>
      <c r="H369" s="18" t="str">
        <f>IFERROR(IF(ISNUMBER(SEARCH("GOW",VLOOKUP([1]DATA!W360,'[1]DATA Engine'!$A$3:$H$800,8,FALSE))),"GOW",""),"")</f>
        <v/>
      </c>
      <c r="I369" s="26"/>
      <c r="J369" s="24"/>
      <c r="K369" s="24"/>
      <c r="L369" s="24"/>
      <c r="M369" s="24"/>
      <c r="N369" s="24"/>
      <c r="O369" s="24"/>
      <c r="P369" s="25"/>
      <c r="Q369" s="1"/>
    </row>
    <row r="370" spans="2:17" ht="15">
      <c r="B370" s="18" t="str">
        <f>IF(C370="","",VLOOKUP([1]DATA!W361,'[1]DATA Engine'!$A$3:$H$800,2,FALSE))</f>
        <v/>
      </c>
      <c r="C370" s="19" t="str">
        <f>IFERROR(VLOOKUP([1]DATA!W361,'[1]DATA Engine'!$A$3:$H$800,3,FALSE),"")</f>
        <v/>
      </c>
      <c r="D370" s="20" t="str">
        <f>IFERROR(VLOOKUP([1]DATA!W361,'[1]DATA Engine'!$A$3:$H$800,4,FALSE),"")</f>
        <v/>
      </c>
      <c r="E370" s="20" t="str">
        <f>IFERROR(VLOOKUP([1]DATA!W361,'[1]DATA Engine'!$A$3:$H$800,5,FALSE),"")</f>
        <v/>
      </c>
      <c r="F370" s="18" t="str">
        <f>IFERROR(VLOOKUP([1]DATA!W361,'[1]DATA Engine'!$A$3:$H$800,6,FALSE),"")</f>
        <v/>
      </c>
      <c r="G370" s="18" t="str">
        <f>IFERROR(VLOOKUP([1]DATA!W361,'[1]DATA Engine'!$A$3:$H$800,7,FALSE),"")</f>
        <v/>
      </c>
      <c r="H370" s="18" t="str">
        <f>IFERROR(IF(ISNUMBER(SEARCH("GOW",VLOOKUP([1]DATA!W361,'[1]DATA Engine'!$A$3:$H$800,8,FALSE))),"GOW",""),"")</f>
        <v/>
      </c>
      <c r="I370" s="26"/>
      <c r="J370" s="24"/>
      <c r="K370" s="24"/>
      <c r="L370" s="24"/>
      <c r="M370" s="24"/>
      <c r="N370" s="24"/>
      <c r="O370" s="24"/>
      <c r="P370" s="25"/>
      <c r="Q370" s="1"/>
    </row>
    <row r="371" spans="2:17" ht="15">
      <c r="B371" s="18" t="str">
        <f>IF(C371="","",VLOOKUP([1]DATA!W362,'[1]DATA Engine'!$A$3:$H$800,2,FALSE))</f>
        <v/>
      </c>
      <c r="C371" s="19" t="str">
        <f>IFERROR(VLOOKUP([1]DATA!W362,'[1]DATA Engine'!$A$3:$H$800,3,FALSE),"")</f>
        <v/>
      </c>
      <c r="D371" s="20" t="str">
        <f>IFERROR(VLOOKUP([1]DATA!W362,'[1]DATA Engine'!$A$3:$H$800,4,FALSE),"")</f>
        <v/>
      </c>
      <c r="E371" s="20" t="str">
        <f>IFERROR(VLOOKUP([1]DATA!W362,'[1]DATA Engine'!$A$3:$H$800,5,FALSE),"")</f>
        <v/>
      </c>
      <c r="F371" s="18" t="str">
        <f>IFERROR(VLOOKUP([1]DATA!W362,'[1]DATA Engine'!$A$3:$H$800,6,FALSE),"")</f>
        <v/>
      </c>
      <c r="G371" s="18" t="str">
        <f>IFERROR(VLOOKUP([1]DATA!W362,'[1]DATA Engine'!$A$3:$H$800,7,FALSE),"")</f>
        <v/>
      </c>
      <c r="H371" s="18" t="str">
        <f>IFERROR(IF(ISNUMBER(SEARCH("GOW",VLOOKUP([1]DATA!W362,'[1]DATA Engine'!$A$3:$H$800,8,FALSE))),"GOW",""),"")</f>
        <v/>
      </c>
      <c r="I371" s="26"/>
      <c r="J371" s="24"/>
      <c r="K371" s="24"/>
      <c r="L371" s="24"/>
      <c r="M371" s="24"/>
      <c r="N371" s="24"/>
      <c r="O371" s="24"/>
      <c r="P371" s="25"/>
      <c r="Q371" s="1"/>
    </row>
    <row r="372" spans="2:17" ht="15">
      <c r="B372" s="18" t="str">
        <f>IF(C372="","",VLOOKUP([1]DATA!W363,'[1]DATA Engine'!$A$3:$H$800,2,FALSE))</f>
        <v/>
      </c>
      <c r="C372" s="19" t="str">
        <f>IFERROR(VLOOKUP([1]DATA!W363,'[1]DATA Engine'!$A$3:$H$800,3,FALSE),"")</f>
        <v/>
      </c>
      <c r="D372" s="20" t="str">
        <f>IFERROR(VLOOKUP([1]DATA!W363,'[1]DATA Engine'!$A$3:$H$800,4,FALSE),"")</f>
        <v/>
      </c>
      <c r="E372" s="20" t="str">
        <f>IFERROR(VLOOKUP([1]DATA!W363,'[1]DATA Engine'!$A$3:$H$800,5,FALSE),"")</f>
        <v/>
      </c>
      <c r="F372" s="18" t="str">
        <f>IFERROR(VLOOKUP([1]DATA!W363,'[1]DATA Engine'!$A$3:$H$800,6,FALSE),"")</f>
        <v/>
      </c>
      <c r="G372" s="18" t="str">
        <f>IFERROR(VLOOKUP([1]DATA!W363,'[1]DATA Engine'!$A$3:$H$800,7,FALSE),"")</f>
        <v/>
      </c>
      <c r="H372" s="18" t="str">
        <f>IFERROR(IF(ISNUMBER(SEARCH("GOW",VLOOKUP([1]DATA!W363,'[1]DATA Engine'!$A$3:$H$800,8,FALSE))),"GOW",""),"")</f>
        <v/>
      </c>
      <c r="I372" s="26"/>
      <c r="J372" s="24"/>
      <c r="K372" s="24"/>
      <c r="L372" s="24"/>
      <c r="M372" s="24"/>
      <c r="N372" s="24"/>
      <c r="O372" s="24"/>
      <c r="P372" s="25"/>
      <c r="Q372" s="1"/>
    </row>
    <row r="373" spans="2:17" ht="15">
      <c r="B373" s="18" t="str">
        <f>IF(C373="","",VLOOKUP([1]DATA!W364,'[1]DATA Engine'!$A$3:$H$800,2,FALSE))</f>
        <v/>
      </c>
      <c r="C373" s="19" t="str">
        <f>IFERROR(VLOOKUP([1]DATA!W364,'[1]DATA Engine'!$A$3:$H$800,3,FALSE),"")</f>
        <v/>
      </c>
      <c r="D373" s="20" t="str">
        <f>IFERROR(VLOOKUP([1]DATA!W364,'[1]DATA Engine'!$A$3:$H$800,4,FALSE),"")</f>
        <v/>
      </c>
      <c r="E373" s="20" t="str">
        <f>IFERROR(VLOOKUP([1]DATA!W364,'[1]DATA Engine'!$A$3:$H$800,5,FALSE),"")</f>
        <v/>
      </c>
      <c r="F373" s="18" t="str">
        <f>IFERROR(VLOOKUP([1]DATA!W364,'[1]DATA Engine'!$A$3:$H$800,6,FALSE),"")</f>
        <v/>
      </c>
      <c r="G373" s="18" t="str">
        <f>IFERROR(VLOOKUP([1]DATA!W364,'[1]DATA Engine'!$A$3:$H$800,7,FALSE),"")</f>
        <v/>
      </c>
      <c r="H373" s="18" t="str">
        <f>IFERROR(IF(ISNUMBER(SEARCH("GOW",VLOOKUP([1]DATA!W364,'[1]DATA Engine'!$A$3:$H$800,8,FALSE))),"GOW",""),"")</f>
        <v/>
      </c>
      <c r="I373" s="26"/>
      <c r="J373" s="24"/>
      <c r="K373" s="24"/>
      <c r="L373" s="24"/>
      <c r="M373" s="24"/>
      <c r="N373" s="24"/>
      <c r="O373" s="24"/>
      <c r="P373" s="25"/>
      <c r="Q373" s="1"/>
    </row>
    <row r="374" spans="2:17" ht="15">
      <c r="B374" s="18" t="str">
        <f>IF(C374="","",VLOOKUP([1]DATA!W365,'[1]DATA Engine'!$A$3:$H$800,2,FALSE))</f>
        <v/>
      </c>
      <c r="C374" s="19" t="str">
        <f>IFERROR(VLOOKUP([1]DATA!W365,'[1]DATA Engine'!$A$3:$H$800,3,FALSE),"")</f>
        <v/>
      </c>
      <c r="D374" s="20" t="str">
        <f>IFERROR(VLOOKUP([1]DATA!W365,'[1]DATA Engine'!$A$3:$H$800,4,FALSE),"")</f>
        <v/>
      </c>
      <c r="E374" s="20" t="str">
        <f>IFERROR(VLOOKUP([1]DATA!W365,'[1]DATA Engine'!$A$3:$H$800,5,FALSE),"")</f>
        <v/>
      </c>
      <c r="F374" s="18" t="str">
        <f>IFERROR(VLOOKUP([1]DATA!W365,'[1]DATA Engine'!$A$3:$H$800,6,FALSE),"")</f>
        <v/>
      </c>
      <c r="G374" s="18" t="str">
        <f>IFERROR(VLOOKUP([1]DATA!W365,'[1]DATA Engine'!$A$3:$H$800,7,FALSE),"")</f>
        <v/>
      </c>
      <c r="H374" s="18" t="str">
        <f>IFERROR(IF(ISNUMBER(SEARCH("GOW",VLOOKUP([1]DATA!W365,'[1]DATA Engine'!$A$3:$H$800,8,FALSE))),"GOW",""),"")</f>
        <v/>
      </c>
      <c r="I374" s="26"/>
      <c r="J374" s="24"/>
      <c r="K374" s="24"/>
      <c r="L374" s="24"/>
      <c r="M374" s="24"/>
      <c r="N374" s="24"/>
      <c r="O374" s="24"/>
      <c r="P374" s="25"/>
      <c r="Q374" s="1"/>
    </row>
    <row r="375" spans="2:17" ht="15">
      <c r="B375" s="18" t="str">
        <f>IF(C375="","",VLOOKUP([1]DATA!W366,'[1]DATA Engine'!$A$3:$H$800,2,FALSE))</f>
        <v/>
      </c>
      <c r="C375" s="19" t="str">
        <f>IFERROR(VLOOKUP([1]DATA!W366,'[1]DATA Engine'!$A$3:$H$800,3,FALSE),"")</f>
        <v/>
      </c>
      <c r="D375" s="20" t="str">
        <f>IFERROR(VLOOKUP([1]DATA!W366,'[1]DATA Engine'!$A$3:$H$800,4,FALSE),"")</f>
        <v/>
      </c>
      <c r="E375" s="20" t="str">
        <f>IFERROR(VLOOKUP([1]DATA!W366,'[1]DATA Engine'!$A$3:$H$800,5,FALSE),"")</f>
        <v/>
      </c>
      <c r="F375" s="18" t="str">
        <f>IFERROR(VLOOKUP([1]DATA!W366,'[1]DATA Engine'!$A$3:$H$800,6,FALSE),"")</f>
        <v/>
      </c>
      <c r="G375" s="18" t="str">
        <f>IFERROR(VLOOKUP([1]DATA!W366,'[1]DATA Engine'!$A$3:$H$800,7,FALSE),"")</f>
        <v/>
      </c>
      <c r="H375" s="18" t="str">
        <f>IFERROR(IF(ISNUMBER(SEARCH("GOW",VLOOKUP([1]DATA!W366,'[1]DATA Engine'!$A$3:$H$800,8,FALSE))),"GOW",""),"")</f>
        <v/>
      </c>
      <c r="I375" s="26"/>
      <c r="J375" s="24"/>
      <c r="K375" s="24"/>
      <c r="L375" s="24"/>
      <c r="M375" s="24"/>
      <c r="N375" s="24"/>
      <c r="O375" s="24"/>
      <c r="P375" s="25"/>
      <c r="Q375" s="1"/>
    </row>
    <row r="376" spans="2:17" ht="15">
      <c r="B376" s="18" t="str">
        <f>IF(C376="","",VLOOKUP([1]DATA!W367,'[1]DATA Engine'!$A$3:$H$800,2,FALSE))</f>
        <v/>
      </c>
      <c r="C376" s="19" t="str">
        <f>IFERROR(VLOOKUP([1]DATA!W367,'[1]DATA Engine'!$A$3:$H$800,3,FALSE),"")</f>
        <v/>
      </c>
      <c r="D376" s="20" t="str">
        <f>IFERROR(VLOOKUP([1]DATA!W367,'[1]DATA Engine'!$A$3:$H$800,4,FALSE),"")</f>
        <v/>
      </c>
      <c r="E376" s="20" t="str">
        <f>IFERROR(VLOOKUP([1]DATA!W367,'[1]DATA Engine'!$A$3:$H$800,5,FALSE),"")</f>
        <v/>
      </c>
      <c r="F376" s="18" t="str">
        <f>IFERROR(VLOOKUP([1]DATA!W367,'[1]DATA Engine'!$A$3:$H$800,6,FALSE),"")</f>
        <v/>
      </c>
      <c r="G376" s="18" t="str">
        <f>IFERROR(VLOOKUP([1]DATA!W367,'[1]DATA Engine'!$A$3:$H$800,7,FALSE),"")</f>
        <v/>
      </c>
      <c r="H376" s="18" t="str">
        <f>IFERROR(IF(ISNUMBER(SEARCH("GOW",VLOOKUP([1]DATA!W367,'[1]DATA Engine'!$A$3:$H$800,8,FALSE))),"GOW",""),"")</f>
        <v/>
      </c>
      <c r="I376" s="26"/>
      <c r="J376" s="24"/>
      <c r="K376" s="24"/>
      <c r="L376" s="24"/>
      <c r="M376" s="24"/>
      <c r="N376" s="24"/>
      <c r="O376" s="24"/>
      <c r="P376" s="25"/>
      <c r="Q376" s="1"/>
    </row>
    <row r="377" spans="2:17" ht="15.75">
      <c r="B377" s="18" t="str">
        <f>IF(C377="","",VLOOKUP([1]DATA!W368,'[1]DATA Engine'!$A$3:$H$800,2,FALSE))</f>
        <v/>
      </c>
      <c r="C377" s="19" t="str">
        <f>IFERROR(VLOOKUP([1]DATA!W368,'[1]DATA Engine'!$A$3:$H$800,3,FALSE),"")</f>
        <v/>
      </c>
      <c r="D377" s="20" t="str">
        <f>IFERROR(VLOOKUP([1]DATA!W368,'[1]DATA Engine'!$A$3:$H$800,4,FALSE),"")</f>
        <v/>
      </c>
      <c r="E377" s="20" t="str">
        <f>IFERROR(VLOOKUP([1]DATA!W368,'[1]DATA Engine'!$A$3:$H$800,5,FALSE),"")</f>
        <v/>
      </c>
      <c r="F377" s="18" t="str">
        <f>IFERROR(VLOOKUP([1]DATA!W368,'[1]DATA Engine'!$A$3:$H$800,6,FALSE),"")</f>
        <v/>
      </c>
      <c r="G377" s="18" t="str">
        <f>IFERROR(VLOOKUP([1]DATA!W368,'[1]DATA Engine'!$A$3:$H$800,7,FALSE),"")</f>
        <v/>
      </c>
      <c r="H377" s="18" t="str">
        <f>IFERROR(IF(ISNUMBER(SEARCH("GOW",VLOOKUP([1]DATA!W368,'[1]DATA Engine'!$A$3:$H$800,8,FALSE))),"GOW",""),"")</f>
        <v/>
      </c>
      <c r="I377" s="9"/>
      <c r="J377" s="4"/>
      <c r="K377" s="4"/>
      <c r="L377" s="4"/>
      <c r="M377" s="4"/>
      <c r="N377" s="4"/>
      <c r="O377" s="4"/>
      <c r="P377" s="5"/>
      <c r="Q377" s="1"/>
    </row>
    <row r="378" spans="2:17" ht="15.75">
      <c r="B378" s="18" t="str">
        <f>IF(C378="","",VLOOKUP([1]DATA!W369,'[1]DATA Engine'!$A$3:$H$800,2,FALSE))</f>
        <v/>
      </c>
      <c r="C378" s="19" t="str">
        <f>IFERROR(VLOOKUP([1]DATA!W369,'[1]DATA Engine'!$A$3:$H$800,3,FALSE),"")</f>
        <v/>
      </c>
      <c r="D378" s="20" t="str">
        <f>IFERROR(VLOOKUP([1]DATA!W369,'[1]DATA Engine'!$A$3:$H$800,4,FALSE),"")</f>
        <v/>
      </c>
      <c r="E378" s="20" t="str">
        <f>IFERROR(VLOOKUP([1]DATA!W369,'[1]DATA Engine'!$A$3:$H$800,5,FALSE),"")</f>
        <v/>
      </c>
      <c r="F378" s="18" t="str">
        <f>IFERROR(VLOOKUP([1]DATA!W369,'[1]DATA Engine'!$A$3:$H$800,6,FALSE),"")</f>
        <v/>
      </c>
      <c r="G378" s="18" t="str">
        <f>IFERROR(VLOOKUP([1]DATA!W369,'[1]DATA Engine'!$A$3:$H$800,7,FALSE),"")</f>
        <v/>
      </c>
      <c r="H378" s="18" t="str">
        <f>IFERROR(IF(ISNUMBER(SEARCH("GOW",VLOOKUP([1]DATA!W369,'[1]DATA Engine'!$A$3:$H$800,8,FALSE))),"GOW",""),"")</f>
        <v/>
      </c>
      <c r="I378" s="9"/>
      <c r="J378" s="4"/>
      <c r="K378" s="4"/>
      <c r="L378" s="4"/>
      <c r="M378" s="4"/>
      <c r="N378" s="4"/>
      <c r="O378" s="4"/>
      <c r="P378" s="5"/>
      <c r="Q378" s="1"/>
    </row>
    <row r="379" spans="2:17" ht="15.75">
      <c r="B379" s="18" t="str">
        <f>IF(C379="","",VLOOKUP([1]DATA!W370,'[1]DATA Engine'!$A$3:$H$800,2,FALSE))</f>
        <v/>
      </c>
      <c r="C379" s="19" t="str">
        <f>IFERROR(VLOOKUP([1]DATA!W370,'[1]DATA Engine'!$A$3:$H$800,3,FALSE),"")</f>
        <v/>
      </c>
      <c r="D379" s="20" t="str">
        <f>IFERROR(VLOOKUP([1]DATA!W370,'[1]DATA Engine'!$A$3:$H$800,4,FALSE),"")</f>
        <v/>
      </c>
      <c r="E379" s="20" t="str">
        <f>IFERROR(VLOOKUP([1]DATA!W370,'[1]DATA Engine'!$A$3:$H$800,5,FALSE),"")</f>
        <v/>
      </c>
      <c r="F379" s="18" t="str">
        <f>IFERROR(VLOOKUP([1]DATA!W370,'[1]DATA Engine'!$A$3:$H$800,6,FALSE),"")</f>
        <v/>
      </c>
      <c r="G379" s="18" t="str">
        <f>IFERROR(VLOOKUP([1]DATA!W370,'[1]DATA Engine'!$A$3:$H$800,7,FALSE),"")</f>
        <v/>
      </c>
      <c r="H379" s="18" t="str">
        <f>IFERROR(IF(ISNUMBER(SEARCH("GOW",VLOOKUP([1]DATA!W370,'[1]DATA Engine'!$A$3:$H$800,8,FALSE))),"GOW",""),"")</f>
        <v/>
      </c>
      <c r="I379" s="9"/>
      <c r="J379" s="4"/>
      <c r="K379" s="4"/>
      <c r="L379" s="4"/>
      <c r="M379" s="4"/>
      <c r="N379" s="4"/>
      <c r="O379" s="4"/>
      <c r="P379" s="5"/>
      <c r="Q379" s="1"/>
    </row>
    <row r="380" spans="2:17" ht="15.75">
      <c r="B380" s="18" t="str">
        <f>IF(C380="","",VLOOKUP([1]DATA!W371,'[1]DATA Engine'!$A$3:$H$800,2,FALSE))</f>
        <v/>
      </c>
      <c r="C380" s="19" t="str">
        <f>IFERROR(VLOOKUP([1]DATA!W371,'[1]DATA Engine'!$A$3:$H$800,3,FALSE),"")</f>
        <v/>
      </c>
      <c r="D380" s="20" t="str">
        <f>IFERROR(VLOOKUP([1]DATA!W371,'[1]DATA Engine'!$A$3:$H$800,4,FALSE),"")</f>
        <v/>
      </c>
      <c r="E380" s="20" t="str">
        <f>IFERROR(VLOOKUP([1]DATA!W371,'[1]DATA Engine'!$A$3:$H$800,5,FALSE),"")</f>
        <v/>
      </c>
      <c r="F380" s="18" t="str">
        <f>IFERROR(VLOOKUP([1]DATA!W371,'[1]DATA Engine'!$A$3:$H$800,6,FALSE),"")</f>
        <v/>
      </c>
      <c r="G380" s="18" t="str">
        <f>IFERROR(VLOOKUP([1]DATA!W371,'[1]DATA Engine'!$A$3:$H$800,7,FALSE),"")</f>
        <v/>
      </c>
      <c r="H380" s="18" t="str">
        <f>IFERROR(IF(ISNUMBER(SEARCH("GOW",VLOOKUP([1]DATA!W371,'[1]DATA Engine'!$A$3:$H$800,8,FALSE))),"GOW",""),"")</f>
        <v/>
      </c>
      <c r="I380" s="9"/>
      <c r="J380" s="4"/>
      <c r="K380" s="4"/>
      <c r="L380" s="4"/>
      <c r="M380" s="4"/>
      <c r="N380" s="4"/>
      <c r="O380" s="4"/>
      <c r="P380" s="5"/>
      <c r="Q380" s="1"/>
    </row>
    <row r="381" spans="2:17" ht="15.75">
      <c r="B381" s="18" t="str">
        <f>IF(C381="","",VLOOKUP([1]DATA!W372,'[1]DATA Engine'!$A$3:$H$800,2,FALSE))</f>
        <v/>
      </c>
      <c r="C381" s="19" t="str">
        <f>IFERROR(VLOOKUP([1]DATA!W372,'[1]DATA Engine'!$A$3:$H$800,3,FALSE),"")</f>
        <v/>
      </c>
      <c r="D381" s="20" t="str">
        <f>IFERROR(VLOOKUP([1]DATA!W372,'[1]DATA Engine'!$A$3:$H$800,4,FALSE),"")</f>
        <v/>
      </c>
      <c r="E381" s="20" t="str">
        <f>IFERROR(VLOOKUP([1]DATA!W372,'[1]DATA Engine'!$A$3:$H$800,5,FALSE),"")</f>
        <v/>
      </c>
      <c r="F381" s="18" t="str">
        <f>IFERROR(VLOOKUP([1]DATA!W372,'[1]DATA Engine'!$A$3:$H$800,6,FALSE),"")</f>
        <v/>
      </c>
      <c r="G381" s="18" t="str">
        <f>IFERROR(VLOOKUP([1]DATA!W372,'[1]DATA Engine'!$A$3:$H$800,7,FALSE),"")</f>
        <v/>
      </c>
      <c r="H381" s="18" t="str">
        <f>IFERROR(IF(ISNUMBER(SEARCH("GOW",VLOOKUP([1]DATA!W372,'[1]DATA Engine'!$A$3:$H$800,8,FALSE))),"GOW",""),"")</f>
        <v/>
      </c>
      <c r="I381" s="9"/>
      <c r="J381" s="4"/>
      <c r="K381" s="4"/>
      <c r="L381" s="4"/>
      <c r="M381" s="4"/>
      <c r="N381" s="4"/>
      <c r="O381" s="4"/>
      <c r="P381" s="5"/>
      <c r="Q381" s="1"/>
    </row>
    <row r="382" spans="2:17" ht="15.75">
      <c r="B382" s="18" t="str">
        <f>IF(C382="","",VLOOKUP([1]DATA!W373,'[1]DATA Engine'!$A$3:$H$800,2,FALSE))</f>
        <v/>
      </c>
      <c r="C382" s="19" t="str">
        <f>IFERROR(VLOOKUP([1]DATA!W373,'[1]DATA Engine'!$A$3:$H$800,3,FALSE),"")</f>
        <v/>
      </c>
      <c r="D382" s="20" t="str">
        <f>IFERROR(VLOOKUP([1]DATA!W373,'[1]DATA Engine'!$A$3:$H$800,4,FALSE),"")</f>
        <v/>
      </c>
      <c r="E382" s="20" t="str">
        <f>IFERROR(VLOOKUP([1]DATA!W373,'[1]DATA Engine'!$A$3:$H$800,5,FALSE),"")</f>
        <v/>
      </c>
      <c r="F382" s="18" t="str">
        <f>IFERROR(VLOOKUP([1]DATA!W373,'[1]DATA Engine'!$A$3:$H$800,6,FALSE),"")</f>
        <v/>
      </c>
      <c r="G382" s="18" t="str">
        <f>IFERROR(VLOOKUP([1]DATA!W373,'[1]DATA Engine'!$A$3:$H$800,7,FALSE),"")</f>
        <v/>
      </c>
      <c r="H382" s="18" t="str">
        <f>IFERROR(IF(ISNUMBER(SEARCH("GOW",VLOOKUP([1]DATA!W373,'[1]DATA Engine'!$A$3:$H$800,8,FALSE))),"GOW",""),"")</f>
        <v/>
      </c>
      <c r="I382" s="9"/>
      <c r="J382" s="4"/>
      <c r="K382" s="4"/>
      <c r="L382" s="4"/>
      <c r="M382" s="4"/>
      <c r="N382" s="4"/>
      <c r="O382" s="4"/>
      <c r="P382" s="5"/>
      <c r="Q382" s="1"/>
    </row>
    <row r="383" spans="2:17" ht="15.75">
      <c r="B383" s="18" t="str">
        <f>IF(C383="","",VLOOKUP([1]DATA!W374,'[1]DATA Engine'!$A$3:$H$800,2,FALSE))</f>
        <v/>
      </c>
      <c r="C383" s="19" t="str">
        <f>IFERROR(VLOOKUP([1]DATA!W374,'[1]DATA Engine'!$A$3:$H$800,3,FALSE),"")</f>
        <v/>
      </c>
      <c r="D383" s="20" t="str">
        <f>IFERROR(VLOOKUP([1]DATA!W374,'[1]DATA Engine'!$A$3:$H$800,4,FALSE),"")</f>
        <v/>
      </c>
      <c r="E383" s="20" t="str">
        <f>IFERROR(VLOOKUP([1]DATA!W374,'[1]DATA Engine'!$A$3:$H$800,5,FALSE),"")</f>
        <v/>
      </c>
      <c r="F383" s="18" t="str">
        <f>IFERROR(VLOOKUP([1]DATA!W374,'[1]DATA Engine'!$A$3:$H$800,6,FALSE),"")</f>
        <v/>
      </c>
      <c r="G383" s="18" t="str">
        <f>IFERROR(VLOOKUP([1]DATA!W374,'[1]DATA Engine'!$A$3:$H$800,7,FALSE),"")</f>
        <v/>
      </c>
      <c r="H383" s="18" t="str">
        <f>IFERROR(IF(ISNUMBER(SEARCH("GOW",VLOOKUP([1]DATA!W374,'[1]DATA Engine'!$A$3:$H$800,8,FALSE))),"GOW",""),"")</f>
        <v/>
      </c>
      <c r="I383" s="9"/>
      <c r="J383" s="4"/>
      <c r="K383" s="4"/>
      <c r="L383" s="4"/>
      <c r="M383" s="4"/>
      <c r="N383" s="4"/>
      <c r="O383" s="4"/>
      <c r="P383" s="5"/>
      <c r="Q383" s="1"/>
    </row>
    <row r="384" spans="2:17" ht="15.75">
      <c r="B384" s="18" t="str">
        <f>IF(C384="","",VLOOKUP([1]DATA!W375,'[1]DATA Engine'!$A$3:$H$800,2,FALSE))</f>
        <v/>
      </c>
      <c r="C384" s="19" t="str">
        <f>IFERROR(VLOOKUP([1]DATA!W375,'[1]DATA Engine'!$A$3:$H$800,3,FALSE),"")</f>
        <v/>
      </c>
      <c r="D384" s="20" t="str">
        <f>IFERROR(VLOOKUP([1]DATA!W375,'[1]DATA Engine'!$A$3:$H$800,4,FALSE),"")</f>
        <v/>
      </c>
      <c r="E384" s="20" t="str">
        <f>IFERROR(VLOOKUP([1]DATA!W375,'[1]DATA Engine'!$A$3:$H$800,5,FALSE),"")</f>
        <v/>
      </c>
      <c r="F384" s="18" t="str">
        <f>IFERROR(VLOOKUP([1]DATA!W375,'[1]DATA Engine'!$A$3:$H$800,6,FALSE),"")</f>
        <v/>
      </c>
      <c r="G384" s="18" t="str">
        <f>IFERROR(VLOOKUP([1]DATA!W375,'[1]DATA Engine'!$A$3:$H$800,7,FALSE),"")</f>
        <v/>
      </c>
      <c r="H384" s="18" t="str">
        <f>IFERROR(IF(ISNUMBER(SEARCH("GOW",VLOOKUP([1]DATA!W375,'[1]DATA Engine'!$A$3:$H$800,8,FALSE))),"GOW",""),"")</f>
        <v/>
      </c>
      <c r="I384" s="9"/>
      <c r="J384" s="4"/>
      <c r="K384" s="4"/>
      <c r="L384" s="4"/>
      <c r="M384" s="4"/>
      <c r="N384" s="4"/>
      <c r="O384" s="4"/>
      <c r="P384" s="5"/>
      <c r="Q384" s="1"/>
    </row>
    <row r="385" spans="2:17" ht="15.75">
      <c r="B385" s="18" t="str">
        <f>IF(C385="","",VLOOKUP([1]DATA!W376,'[1]DATA Engine'!$A$3:$H$800,2,FALSE))</f>
        <v/>
      </c>
      <c r="C385" s="19" t="str">
        <f>IFERROR(VLOOKUP([1]DATA!W376,'[1]DATA Engine'!$A$3:$H$800,3,FALSE),"")</f>
        <v/>
      </c>
      <c r="D385" s="20" t="str">
        <f>IFERROR(VLOOKUP([1]DATA!W376,'[1]DATA Engine'!$A$3:$H$800,4,FALSE),"")</f>
        <v/>
      </c>
      <c r="E385" s="20" t="str">
        <f>IFERROR(VLOOKUP([1]DATA!W376,'[1]DATA Engine'!$A$3:$H$800,5,FALSE),"")</f>
        <v/>
      </c>
      <c r="F385" s="18" t="str">
        <f>IFERROR(VLOOKUP([1]DATA!W376,'[1]DATA Engine'!$A$3:$H$800,6,FALSE),"")</f>
        <v/>
      </c>
      <c r="G385" s="18" t="str">
        <f>IFERROR(VLOOKUP([1]DATA!W376,'[1]DATA Engine'!$A$3:$H$800,7,FALSE),"")</f>
        <v/>
      </c>
      <c r="H385" s="18" t="str">
        <f>IFERROR(IF(ISNUMBER(SEARCH("GOW",VLOOKUP([1]DATA!W376,'[1]DATA Engine'!$A$3:$H$800,8,FALSE))),"GOW",""),"")</f>
        <v/>
      </c>
      <c r="I385" s="9"/>
      <c r="J385" s="4"/>
      <c r="K385" s="4"/>
      <c r="L385" s="4"/>
      <c r="M385" s="4"/>
      <c r="N385" s="4"/>
      <c r="O385" s="4"/>
      <c r="P385" s="5"/>
      <c r="Q385" s="1"/>
    </row>
    <row r="386" spans="2:17" ht="15.75">
      <c r="B386" s="18" t="str">
        <f>IF(C386="","",VLOOKUP([1]DATA!W377,'[1]DATA Engine'!$A$3:$H$800,2,FALSE))</f>
        <v/>
      </c>
      <c r="C386" s="19" t="str">
        <f>IFERROR(VLOOKUP([1]DATA!W377,'[1]DATA Engine'!$A$3:$H$800,3,FALSE),"")</f>
        <v/>
      </c>
      <c r="D386" s="20" t="str">
        <f>IFERROR(VLOOKUP([1]DATA!W377,'[1]DATA Engine'!$A$3:$H$800,4,FALSE),"")</f>
        <v/>
      </c>
      <c r="E386" s="20" t="str">
        <f>IFERROR(VLOOKUP([1]DATA!W377,'[1]DATA Engine'!$A$3:$H$800,5,FALSE),"")</f>
        <v/>
      </c>
      <c r="F386" s="18" t="str">
        <f>IFERROR(VLOOKUP([1]DATA!W377,'[1]DATA Engine'!$A$3:$H$800,6,FALSE),"")</f>
        <v/>
      </c>
      <c r="G386" s="18" t="str">
        <f>IFERROR(VLOOKUP([1]DATA!W377,'[1]DATA Engine'!$A$3:$H$800,7,FALSE),"")</f>
        <v/>
      </c>
      <c r="H386" s="18" t="str">
        <f>IFERROR(IF(ISNUMBER(SEARCH("GOW",VLOOKUP([1]DATA!W377,'[1]DATA Engine'!$A$3:$H$800,8,FALSE))),"GOW",""),"")</f>
        <v/>
      </c>
      <c r="I386" s="9"/>
      <c r="J386" s="4"/>
      <c r="K386" s="4"/>
      <c r="L386" s="4"/>
      <c r="M386" s="4"/>
      <c r="N386" s="4"/>
      <c r="O386" s="4"/>
      <c r="P386" s="5"/>
      <c r="Q386" s="1"/>
    </row>
    <row r="387" spans="2:17" ht="15.75">
      <c r="B387" s="18" t="str">
        <f>IF(C387="","",VLOOKUP([1]DATA!W378,'[1]DATA Engine'!$A$3:$H$800,2,FALSE))</f>
        <v/>
      </c>
      <c r="C387" s="19" t="str">
        <f>IFERROR(VLOOKUP([1]DATA!W378,'[1]DATA Engine'!$A$3:$H$800,3,FALSE),"")</f>
        <v/>
      </c>
      <c r="D387" s="20" t="str">
        <f>IFERROR(VLOOKUP([1]DATA!W378,'[1]DATA Engine'!$A$3:$H$800,4,FALSE),"")</f>
        <v/>
      </c>
      <c r="E387" s="20" t="str">
        <f>IFERROR(VLOOKUP([1]DATA!W378,'[1]DATA Engine'!$A$3:$H$800,5,FALSE),"")</f>
        <v/>
      </c>
      <c r="F387" s="18" t="str">
        <f>IFERROR(VLOOKUP([1]DATA!W378,'[1]DATA Engine'!$A$3:$H$800,6,FALSE),"")</f>
        <v/>
      </c>
      <c r="G387" s="18" t="str">
        <f>IFERROR(VLOOKUP([1]DATA!W378,'[1]DATA Engine'!$A$3:$H$800,7,FALSE),"")</f>
        <v/>
      </c>
      <c r="H387" s="18" t="str">
        <f>IFERROR(IF(ISNUMBER(SEARCH("GOW",VLOOKUP([1]DATA!W378,'[1]DATA Engine'!$A$3:$H$800,8,FALSE))),"GOW",""),"")</f>
        <v/>
      </c>
      <c r="I387" s="9"/>
      <c r="J387" s="4"/>
      <c r="K387" s="4"/>
      <c r="L387" s="4"/>
      <c r="M387" s="4"/>
      <c r="N387" s="4"/>
      <c r="O387" s="4"/>
      <c r="P387" s="5"/>
      <c r="Q387" s="1"/>
    </row>
    <row r="388" spans="2:17" ht="15.75">
      <c r="B388" s="18" t="str">
        <f>IF(C388="","",VLOOKUP([1]DATA!W379,'[1]DATA Engine'!$A$3:$H$800,2,FALSE))</f>
        <v/>
      </c>
      <c r="C388" s="19" t="str">
        <f>IFERROR(VLOOKUP([1]DATA!W379,'[1]DATA Engine'!$A$3:$H$800,3,FALSE),"")</f>
        <v/>
      </c>
      <c r="D388" s="20" t="str">
        <f>IFERROR(VLOOKUP([1]DATA!W379,'[1]DATA Engine'!$A$3:$H$800,4,FALSE),"")</f>
        <v/>
      </c>
      <c r="E388" s="20" t="str">
        <f>IFERROR(VLOOKUP([1]DATA!W379,'[1]DATA Engine'!$A$3:$H$800,5,FALSE),"")</f>
        <v/>
      </c>
      <c r="F388" s="18" t="str">
        <f>IFERROR(VLOOKUP([1]DATA!W379,'[1]DATA Engine'!$A$3:$H$800,6,FALSE),"")</f>
        <v/>
      </c>
      <c r="G388" s="18" t="str">
        <f>IFERROR(VLOOKUP([1]DATA!W379,'[1]DATA Engine'!$A$3:$H$800,7,FALSE),"")</f>
        <v/>
      </c>
      <c r="H388" s="18" t="str">
        <f>IFERROR(IF(ISNUMBER(SEARCH("GOW",VLOOKUP([1]DATA!W379,'[1]DATA Engine'!$A$3:$H$800,8,FALSE))),"GOW",""),"")</f>
        <v/>
      </c>
      <c r="I388" s="9"/>
      <c r="J388" s="4"/>
      <c r="K388" s="4"/>
      <c r="L388" s="4"/>
      <c r="M388" s="4"/>
      <c r="N388" s="4"/>
      <c r="O388" s="4"/>
      <c r="P388" s="5"/>
      <c r="Q388" s="1"/>
    </row>
    <row r="389" spans="2:17" ht="15.75">
      <c r="B389" s="18" t="str">
        <f>IF(C389="","",VLOOKUP([1]DATA!W380,'[1]DATA Engine'!$A$3:$H$800,2,FALSE))</f>
        <v/>
      </c>
      <c r="C389" s="19" t="str">
        <f>IFERROR(VLOOKUP([1]DATA!W380,'[1]DATA Engine'!$A$3:$H$800,3,FALSE),"")</f>
        <v/>
      </c>
      <c r="D389" s="20" t="str">
        <f>IFERROR(VLOOKUP([1]DATA!W380,'[1]DATA Engine'!$A$3:$H$800,4,FALSE),"")</f>
        <v/>
      </c>
      <c r="E389" s="20" t="str">
        <f>IFERROR(VLOOKUP([1]DATA!W380,'[1]DATA Engine'!$A$3:$H$800,5,FALSE),"")</f>
        <v/>
      </c>
      <c r="F389" s="18" t="str">
        <f>IFERROR(VLOOKUP([1]DATA!W380,'[1]DATA Engine'!$A$3:$H$800,6,FALSE),"")</f>
        <v/>
      </c>
      <c r="G389" s="18" t="str">
        <f>IFERROR(VLOOKUP([1]DATA!W380,'[1]DATA Engine'!$A$3:$H$800,7,FALSE),"")</f>
        <v/>
      </c>
      <c r="H389" s="18" t="str">
        <f>IFERROR(IF(ISNUMBER(SEARCH("GOW",VLOOKUP([1]DATA!W380,'[1]DATA Engine'!$A$3:$H$800,8,FALSE))),"GOW",""),"")</f>
        <v/>
      </c>
      <c r="I389" s="9"/>
      <c r="J389" s="4"/>
      <c r="K389" s="4"/>
      <c r="L389" s="4"/>
      <c r="M389" s="4"/>
      <c r="N389" s="4"/>
      <c r="O389" s="4"/>
      <c r="P389" s="5"/>
      <c r="Q389" s="1"/>
    </row>
    <row r="390" spans="2:17" ht="15.75">
      <c r="B390" s="18" t="str">
        <f>IF(C390="","",VLOOKUP([1]DATA!W381,'[1]DATA Engine'!$A$3:$H$800,2,FALSE))</f>
        <v/>
      </c>
      <c r="C390" s="19" t="str">
        <f>IFERROR(VLOOKUP([1]DATA!W381,'[1]DATA Engine'!$A$3:$H$800,3,FALSE),"")</f>
        <v/>
      </c>
      <c r="D390" s="20" t="str">
        <f>IFERROR(VLOOKUP([1]DATA!W381,'[1]DATA Engine'!$A$3:$H$800,4,FALSE),"")</f>
        <v/>
      </c>
      <c r="E390" s="20" t="str">
        <f>IFERROR(VLOOKUP([1]DATA!W381,'[1]DATA Engine'!$A$3:$H$800,5,FALSE),"")</f>
        <v/>
      </c>
      <c r="F390" s="18" t="str">
        <f>IFERROR(VLOOKUP([1]DATA!W381,'[1]DATA Engine'!$A$3:$H$800,6,FALSE),"")</f>
        <v/>
      </c>
      <c r="G390" s="18" t="str">
        <f>IFERROR(VLOOKUP([1]DATA!W381,'[1]DATA Engine'!$A$3:$H$800,7,FALSE),"")</f>
        <v/>
      </c>
      <c r="H390" s="18" t="str">
        <f>IFERROR(IF(ISNUMBER(SEARCH("GOW",VLOOKUP([1]DATA!W381,'[1]DATA Engine'!$A$3:$H$800,8,FALSE))),"GOW",""),"")</f>
        <v/>
      </c>
      <c r="I390" s="9"/>
      <c r="J390" s="4"/>
      <c r="K390" s="4"/>
      <c r="L390" s="4"/>
      <c r="M390" s="4"/>
      <c r="N390" s="4"/>
      <c r="O390" s="4"/>
      <c r="P390" s="5"/>
      <c r="Q390" s="1"/>
    </row>
    <row r="391" spans="2:17" ht="15.75">
      <c r="B391" s="18" t="str">
        <f>IF(C391="","",VLOOKUP([1]DATA!W382,'[1]DATA Engine'!$A$3:$H$800,2,FALSE))</f>
        <v/>
      </c>
      <c r="C391" s="19" t="str">
        <f>IFERROR(VLOOKUP([1]DATA!W382,'[1]DATA Engine'!$A$3:$H$800,3,FALSE),"")</f>
        <v/>
      </c>
      <c r="D391" s="20" t="str">
        <f>IFERROR(VLOOKUP([1]DATA!W382,'[1]DATA Engine'!$A$3:$H$800,4,FALSE),"")</f>
        <v/>
      </c>
      <c r="E391" s="20" t="str">
        <f>IFERROR(VLOOKUP([1]DATA!W382,'[1]DATA Engine'!$A$3:$H$800,5,FALSE),"")</f>
        <v/>
      </c>
      <c r="F391" s="18" t="str">
        <f>IFERROR(VLOOKUP([1]DATA!W382,'[1]DATA Engine'!$A$3:$H$800,6,FALSE),"")</f>
        <v/>
      </c>
      <c r="G391" s="18" t="str">
        <f>IFERROR(VLOOKUP([1]DATA!W382,'[1]DATA Engine'!$A$3:$H$800,7,FALSE),"")</f>
        <v/>
      </c>
      <c r="H391" s="18" t="str">
        <f>IFERROR(IF(ISNUMBER(SEARCH("GOW",VLOOKUP([1]DATA!W382,'[1]DATA Engine'!$A$3:$H$800,8,FALSE))),"GOW",""),"")</f>
        <v/>
      </c>
      <c r="I391" s="9"/>
      <c r="J391" s="4"/>
      <c r="K391" s="4"/>
      <c r="L391" s="4"/>
      <c r="M391" s="4"/>
      <c r="N391" s="4"/>
      <c r="O391" s="4"/>
      <c r="P391" s="5"/>
      <c r="Q391" s="1"/>
    </row>
    <row r="392" spans="2:17" ht="15.75">
      <c r="B392" s="18" t="str">
        <f>IF(C392="","",VLOOKUP([1]DATA!W383,'[1]DATA Engine'!$A$3:$H$800,2,FALSE))</f>
        <v/>
      </c>
      <c r="C392" s="19" t="str">
        <f>IFERROR(VLOOKUP([1]DATA!W383,'[1]DATA Engine'!$A$3:$H$800,3,FALSE),"")</f>
        <v/>
      </c>
      <c r="D392" s="20" t="str">
        <f>IFERROR(VLOOKUP([1]DATA!W383,'[1]DATA Engine'!$A$3:$H$800,4,FALSE),"")</f>
        <v/>
      </c>
      <c r="E392" s="20" t="str">
        <f>IFERROR(VLOOKUP([1]DATA!W383,'[1]DATA Engine'!$A$3:$H$800,5,FALSE),"")</f>
        <v/>
      </c>
      <c r="F392" s="18" t="str">
        <f>IFERROR(VLOOKUP([1]DATA!W383,'[1]DATA Engine'!$A$3:$H$800,6,FALSE),"")</f>
        <v/>
      </c>
      <c r="G392" s="18" t="str">
        <f>IFERROR(VLOOKUP([1]DATA!W383,'[1]DATA Engine'!$A$3:$H$800,7,FALSE),"")</f>
        <v/>
      </c>
      <c r="H392" s="18" t="str">
        <f>IFERROR(IF(ISNUMBER(SEARCH("GOW",VLOOKUP([1]DATA!W383,'[1]DATA Engine'!$A$3:$H$800,8,FALSE))),"GOW",""),"")</f>
        <v/>
      </c>
      <c r="I392" s="9"/>
      <c r="J392" s="4"/>
      <c r="K392" s="4"/>
      <c r="L392" s="4"/>
      <c r="M392" s="4"/>
      <c r="N392" s="4"/>
      <c r="O392" s="4"/>
      <c r="P392" s="5"/>
      <c r="Q392" s="1"/>
    </row>
    <row r="393" spans="2:17" ht="15.75">
      <c r="B393" s="18" t="str">
        <f>IF(C393="","",VLOOKUP([1]DATA!W384,'[1]DATA Engine'!$A$3:$H$800,2,FALSE))</f>
        <v/>
      </c>
      <c r="C393" s="19" t="str">
        <f>IFERROR(VLOOKUP([1]DATA!W384,'[1]DATA Engine'!$A$3:$H$800,3,FALSE),"")</f>
        <v/>
      </c>
      <c r="D393" s="20" t="str">
        <f>IFERROR(VLOOKUP([1]DATA!W384,'[1]DATA Engine'!$A$3:$H$800,4,FALSE),"")</f>
        <v/>
      </c>
      <c r="E393" s="20" t="str">
        <f>IFERROR(VLOOKUP([1]DATA!W384,'[1]DATA Engine'!$A$3:$H$800,5,FALSE),"")</f>
        <v/>
      </c>
      <c r="F393" s="18" t="str">
        <f>IFERROR(VLOOKUP([1]DATA!W384,'[1]DATA Engine'!$A$3:$H$800,6,FALSE),"")</f>
        <v/>
      </c>
      <c r="G393" s="18" t="str">
        <f>IFERROR(VLOOKUP([1]DATA!W384,'[1]DATA Engine'!$A$3:$H$800,7,FALSE),"")</f>
        <v/>
      </c>
      <c r="H393" s="18" t="str">
        <f>IFERROR(IF(ISNUMBER(SEARCH("GOW",VLOOKUP([1]DATA!W384,'[1]DATA Engine'!$A$3:$H$800,8,FALSE))),"GOW",""),"")</f>
        <v/>
      </c>
      <c r="I393" s="9"/>
      <c r="J393" s="4"/>
      <c r="K393" s="4"/>
      <c r="L393" s="4"/>
      <c r="M393" s="4"/>
      <c r="N393" s="4"/>
      <c r="O393" s="4"/>
      <c r="P393" s="5"/>
      <c r="Q393" s="1"/>
    </row>
    <row r="394" spans="2:17">
      <c r="B394" s="18" t="str">
        <f>IF(C394="","",VLOOKUP([1]DATA!W385,'[1]DATA Engine'!$A$3:$H$800,2,FALSE))</f>
        <v/>
      </c>
      <c r="C394" s="19" t="str">
        <f>IFERROR(VLOOKUP([1]DATA!W385,'[1]DATA Engine'!$A$3:$H$800,3,FALSE),"")</f>
        <v/>
      </c>
      <c r="D394" s="20" t="str">
        <f>IFERROR(VLOOKUP([1]DATA!W385,'[1]DATA Engine'!$A$3:$H$800,4,FALSE),"")</f>
        <v/>
      </c>
      <c r="E394" s="20" t="str">
        <f>IFERROR(VLOOKUP([1]DATA!W385,'[1]DATA Engine'!$A$3:$H$800,5,FALSE),"")</f>
        <v/>
      </c>
      <c r="F394" s="18" t="str">
        <f>IFERROR(VLOOKUP([1]DATA!W385,'[1]DATA Engine'!$A$3:$H$800,6,FALSE),"")</f>
        <v/>
      </c>
      <c r="G394" s="18" t="str">
        <f>IFERROR(VLOOKUP([1]DATA!W385,'[1]DATA Engine'!$A$3:$H$800,7,FALSE),"")</f>
        <v/>
      </c>
      <c r="H394" s="18" t="str">
        <f>IFERROR(IF(ISNUMBER(SEARCH("GOW",VLOOKUP([1]DATA!W385,'[1]DATA Engine'!$A$3:$H$800,8,FALSE))),"GOW",""),"")</f>
        <v/>
      </c>
      <c r="I394" s="4"/>
      <c r="J394" s="4"/>
      <c r="K394" s="4"/>
      <c r="L394" s="4"/>
      <c r="M394" s="4"/>
      <c r="N394" s="4"/>
      <c r="O394" s="4"/>
      <c r="P394" s="5"/>
      <c r="Q394" s="1"/>
    </row>
    <row r="395" spans="2:17">
      <c r="B395" s="18" t="str">
        <f>IF(C395="","",VLOOKUP([1]DATA!W386,'[1]DATA Engine'!$A$3:$H$800,2,FALSE))</f>
        <v/>
      </c>
      <c r="C395" s="19" t="str">
        <f>IFERROR(VLOOKUP([1]DATA!W386,'[1]DATA Engine'!$A$3:$H$800,3,FALSE),"")</f>
        <v/>
      </c>
      <c r="D395" s="20" t="str">
        <f>IFERROR(VLOOKUP([1]DATA!W386,'[1]DATA Engine'!$A$3:$H$800,4,FALSE),"")</f>
        <v/>
      </c>
      <c r="E395" s="20" t="str">
        <f>IFERROR(VLOOKUP([1]DATA!W386,'[1]DATA Engine'!$A$3:$H$800,5,FALSE),"")</f>
        <v/>
      </c>
      <c r="F395" s="18" t="str">
        <f>IFERROR(VLOOKUP([1]DATA!W386,'[1]DATA Engine'!$A$3:$H$800,6,FALSE),"")</f>
        <v/>
      </c>
      <c r="G395" s="18" t="str">
        <f>IFERROR(VLOOKUP([1]DATA!W386,'[1]DATA Engine'!$A$3:$H$800,7,FALSE),"")</f>
        <v/>
      </c>
      <c r="H395" s="18" t="str">
        <f>IFERROR(IF(ISNUMBER(SEARCH("GOW",VLOOKUP([1]DATA!W386,'[1]DATA Engine'!$A$3:$H$800,8,FALSE))),"GOW",""),"")</f>
        <v/>
      </c>
      <c r="I395" s="4"/>
      <c r="J395" s="4"/>
      <c r="K395" s="4"/>
      <c r="L395" s="4"/>
      <c r="M395" s="4"/>
      <c r="N395" s="4"/>
      <c r="O395" s="4"/>
      <c r="P395" s="5"/>
      <c r="Q395" s="1"/>
    </row>
    <row r="396" spans="2:17">
      <c r="B396" s="18" t="str">
        <f>IF(C396="","",VLOOKUP([1]DATA!W387,'[1]DATA Engine'!$A$3:$H$800,2,FALSE))</f>
        <v/>
      </c>
      <c r="C396" s="19" t="str">
        <f>IFERROR(VLOOKUP([1]DATA!W387,'[1]DATA Engine'!$A$3:$H$800,3,FALSE),"")</f>
        <v/>
      </c>
      <c r="D396" s="20" t="str">
        <f>IFERROR(VLOOKUP([1]DATA!W387,'[1]DATA Engine'!$A$3:$H$800,4,FALSE),"")</f>
        <v/>
      </c>
      <c r="E396" s="20" t="str">
        <f>IFERROR(VLOOKUP([1]DATA!W387,'[1]DATA Engine'!$A$3:$H$800,5,FALSE),"")</f>
        <v/>
      </c>
      <c r="F396" s="18" t="str">
        <f>IFERROR(VLOOKUP([1]DATA!W387,'[1]DATA Engine'!$A$3:$H$800,6,FALSE),"")</f>
        <v/>
      </c>
      <c r="G396" s="18" t="str">
        <f>IFERROR(VLOOKUP([1]DATA!W387,'[1]DATA Engine'!$A$3:$H$800,7,FALSE),"")</f>
        <v/>
      </c>
      <c r="H396" s="18" t="str">
        <f>IFERROR(IF(ISNUMBER(SEARCH("GOW",VLOOKUP([1]DATA!W387,'[1]DATA Engine'!$A$3:$H$800,8,FALSE))),"GOW",""),"")</f>
        <v/>
      </c>
      <c r="I396" s="4"/>
      <c r="J396" s="4"/>
      <c r="K396" s="4"/>
      <c r="L396" s="4"/>
      <c r="M396" s="4"/>
      <c r="N396" s="4"/>
      <c r="O396" s="4"/>
      <c r="P396" s="5"/>
      <c r="Q396" s="1"/>
    </row>
    <row r="397" spans="2:17">
      <c r="B397" s="18" t="str">
        <f>IF(C397="","",VLOOKUP([1]DATA!W388,'[1]DATA Engine'!$A$3:$H$800,2,FALSE))</f>
        <v/>
      </c>
      <c r="C397" s="19" t="str">
        <f>IFERROR(VLOOKUP([1]DATA!W388,'[1]DATA Engine'!$A$3:$H$800,3,FALSE),"")</f>
        <v/>
      </c>
      <c r="D397" s="20" t="str">
        <f>IFERROR(VLOOKUP([1]DATA!W388,'[1]DATA Engine'!$A$3:$H$800,4,FALSE),"")</f>
        <v/>
      </c>
      <c r="E397" s="20" t="str">
        <f>IFERROR(VLOOKUP([1]DATA!W388,'[1]DATA Engine'!$A$3:$H$800,5,FALSE),"")</f>
        <v/>
      </c>
      <c r="F397" s="18" t="str">
        <f>IFERROR(VLOOKUP([1]DATA!W388,'[1]DATA Engine'!$A$3:$H$800,6,FALSE),"")</f>
        <v/>
      </c>
      <c r="G397" s="18" t="str">
        <f>IFERROR(VLOOKUP([1]DATA!W388,'[1]DATA Engine'!$A$3:$H$800,7,FALSE),"")</f>
        <v/>
      </c>
      <c r="H397" s="18" t="str">
        <f>IFERROR(IF(VLOOKUP([1]DATA!W388,'[1]DATA Engine'!$A$3:$H$800,8,FALSE)="GOW","GOW",""),"")</f>
        <v/>
      </c>
      <c r="I397" s="4"/>
      <c r="J397" s="4"/>
      <c r="K397" s="4"/>
      <c r="L397" s="4"/>
      <c r="M397" s="4"/>
      <c r="N397" s="4"/>
      <c r="O397" s="4"/>
      <c r="P397" s="5"/>
      <c r="Q397" s="1"/>
    </row>
    <row r="398" spans="2:17">
      <c r="B398" s="1"/>
      <c r="C398" s="27"/>
      <c r="D398" s="28"/>
      <c r="E398" s="29"/>
      <c r="F398" s="29"/>
      <c r="G398" s="29"/>
      <c r="H398" s="29"/>
      <c r="I398" s="4"/>
      <c r="J398" s="4"/>
      <c r="K398" s="4"/>
      <c r="L398" s="4"/>
      <c r="M398" s="4"/>
      <c r="N398" s="4"/>
      <c r="O398" s="4"/>
      <c r="P398" s="5"/>
      <c r="Q398" s="1"/>
    </row>
    <row r="399" spans="2:17">
      <c r="B399" s="1"/>
      <c r="C399" s="27"/>
      <c r="D399" s="28"/>
      <c r="E399" s="29"/>
      <c r="F399" s="29"/>
      <c r="G399" s="29"/>
      <c r="H399" s="29"/>
      <c r="I399" s="4"/>
      <c r="J399" s="4"/>
      <c r="K399" s="4"/>
      <c r="L399" s="4"/>
      <c r="M399" s="4"/>
      <c r="N399" s="4"/>
      <c r="O399" s="4"/>
      <c r="P399" s="5"/>
      <c r="Q399" s="1"/>
    </row>
    <row r="400" spans="2:17">
      <c r="B400" s="1"/>
      <c r="C400" s="27"/>
      <c r="D400" s="28"/>
      <c r="E400" s="29"/>
      <c r="F400" s="29"/>
      <c r="G400" s="29"/>
      <c r="H400" s="29"/>
      <c r="I400" s="4"/>
      <c r="J400" s="4"/>
      <c r="K400" s="4"/>
      <c r="L400" s="4"/>
      <c r="M400" s="4"/>
      <c r="N400" s="4"/>
      <c r="O400" s="4"/>
      <c r="P400" s="5"/>
      <c r="Q400" s="1"/>
    </row>
    <row r="401" spans="2:17">
      <c r="B401" s="1"/>
      <c r="C401" s="2"/>
      <c r="D401" s="3"/>
      <c r="E401" s="1"/>
      <c r="F401" s="1"/>
      <c r="G401" s="1"/>
      <c r="H401" s="1"/>
      <c r="I401" s="4"/>
      <c r="J401" s="4"/>
      <c r="K401" s="4"/>
      <c r="L401" s="4"/>
      <c r="M401" s="4"/>
      <c r="N401" s="4"/>
      <c r="O401" s="4"/>
      <c r="P401" s="5"/>
      <c r="Q401" s="1"/>
    </row>
    <row r="402" spans="2:17">
      <c r="B402" s="1"/>
      <c r="C402" s="2"/>
      <c r="D402" s="3"/>
      <c r="E402" s="1"/>
      <c r="F402" s="1"/>
      <c r="G402" s="1"/>
      <c r="H402" s="1"/>
      <c r="I402" s="4"/>
      <c r="J402" s="4"/>
      <c r="K402" s="4"/>
      <c r="L402" s="4"/>
      <c r="M402" s="4"/>
      <c r="N402" s="4"/>
      <c r="O402" s="4"/>
      <c r="P402" s="5"/>
      <c r="Q402" s="1"/>
    </row>
    <row r="403" spans="2:17">
      <c r="B403" s="1"/>
      <c r="C403" s="2"/>
      <c r="D403" s="3"/>
      <c r="E403" s="1"/>
      <c r="F403" s="1"/>
      <c r="G403" s="1"/>
      <c r="H403" s="1"/>
      <c r="I403" s="4"/>
      <c r="J403" s="4"/>
      <c r="K403" s="4"/>
      <c r="L403" s="4"/>
      <c r="M403" s="4"/>
      <c r="N403" s="4"/>
      <c r="O403" s="4"/>
      <c r="P403" s="5"/>
      <c r="Q403" s="1"/>
    </row>
    <row r="404" spans="2:17">
      <c r="B404" s="1"/>
      <c r="C404" s="2"/>
      <c r="D404" s="3"/>
      <c r="E404" s="1"/>
      <c r="F404" s="1"/>
      <c r="G404" s="1"/>
      <c r="H404" s="1"/>
      <c r="I404" s="4"/>
      <c r="J404" s="4"/>
      <c r="K404" s="4"/>
      <c r="L404" s="4"/>
      <c r="M404" s="4"/>
      <c r="N404" s="4"/>
      <c r="O404" s="4"/>
      <c r="P404" s="5"/>
      <c r="Q404" s="1"/>
    </row>
    <row r="405" spans="2:17">
      <c r="B405" s="1"/>
      <c r="C405" s="2"/>
      <c r="D405" s="3"/>
      <c r="E405" s="1"/>
      <c r="F405" s="1"/>
      <c r="G405" s="1"/>
      <c r="H405" s="1"/>
      <c r="I405" s="4"/>
      <c r="J405" s="4"/>
      <c r="K405" s="4"/>
      <c r="L405" s="4"/>
      <c r="M405" s="4"/>
      <c r="N405" s="4"/>
      <c r="O405" s="4"/>
      <c r="P405" s="5"/>
      <c r="Q405" s="1"/>
    </row>
    <row r="406" spans="2:17">
      <c r="B406" s="1"/>
      <c r="C406" s="2"/>
      <c r="D406" s="3"/>
      <c r="E406" s="1"/>
      <c r="F406" s="1"/>
      <c r="G406" s="1"/>
      <c r="H406" s="1"/>
      <c r="I406" s="4"/>
      <c r="J406" s="4"/>
      <c r="K406" s="4"/>
      <c r="L406" s="4"/>
      <c r="M406" s="4"/>
      <c r="N406" s="4"/>
      <c r="O406" s="4"/>
      <c r="P406" s="5"/>
      <c r="Q406" s="1"/>
    </row>
    <row r="407" spans="2:17">
      <c r="B407" s="1"/>
      <c r="C407" s="2"/>
      <c r="D407" s="3"/>
      <c r="E407" s="1"/>
      <c r="F407" s="1"/>
      <c r="G407" s="1"/>
      <c r="H407" s="1"/>
      <c r="I407" s="4"/>
      <c r="J407" s="4"/>
      <c r="K407" s="4"/>
      <c r="L407" s="4"/>
      <c r="M407" s="4"/>
      <c r="N407" s="4"/>
      <c r="O407" s="4"/>
      <c r="P407" s="5"/>
      <c r="Q407" s="1"/>
    </row>
    <row r="408" spans="2:17">
      <c r="B408" s="1"/>
      <c r="C408" s="2"/>
      <c r="D408" s="3"/>
      <c r="E408" s="1"/>
      <c r="F408" s="1"/>
      <c r="G408" s="1"/>
      <c r="H408" s="1"/>
      <c r="I408" s="4"/>
      <c r="J408" s="4"/>
      <c r="K408" s="4"/>
      <c r="L408" s="4"/>
      <c r="M408" s="4"/>
      <c r="N408" s="4"/>
      <c r="O408" s="4"/>
      <c r="P408" s="5"/>
      <c r="Q408" s="1"/>
    </row>
    <row r="409" spans="2:17">
      <c r="B409" s="1"/>
      <c r="C409" s="2"/>
      <c r="D409" s="3"/>
      <c r="E409" s="1"/>
      <c r="F409" s="1"/>
      <c r="G409" s="1"/>
      <c r="H409" s="1"/>
      <c r="I409" s="4"/>
      <c r="J409" s="4"/>
      <c r="K409" s="4"/>
      <c r="L409" s="4"/>
      <c r="M409" s="4"/>
      <c r="N409" s="4"/>
      <c r="O409" s="4"/>
      <c r="P409" s="5"/>
      <c r="Q409" s="1"/>
    </row>
    <row r="410" spans="2:17">
      <c r="B410" s="1"/>
      <c r="C410" s="2"/>
      <c r="D410" s="3"/>
      <c r="E410" s="1"/>
      <c r="F410" s="1"/>
      <c r="G410" s="1"/>
      <c r="H410" s="1"/>
      <c r="I410" s="4"/>
      <c r="J410" s="4"/>
      <c r="K410" s="4"/>
      <c r="L410" s="4"/>
      <c r="M410" s="4"/>
      <c r="N410" s="4"/>
      <c r="O410" s="4"/>
      <c r="P410" s="5"/>
      <c r="Q410" s="1"/>
    </row>
    <row r="411" spans="2:17">
      <c r="B411" s="1"/>
      <c r="C411" s="2"/>
      <c r="D411" s="3"/>
      <c r="E411" s="1"/>
      <c r="F411" s="1"/>
      <c r="G411" s="1"/>
      <c r="H411" s="1"/>
      <c r="I411" s="4"/>
      <c r="J411" s="4"/>
      <c r="K411" s="4"/>
      <c r="L411" s="4"/>
      <c r="M411" s="4"/>
      <c r="N411" s="4"/>
      <c r="O411" s="4"/>
      <c r="P411" s="5"/>
      <c r="Q411" s="1"/>
    </row>
    <row r="412" spans="2:17">
      <c r="B412" s="1"/>
      <c r="C412" s="2"/>
      <c r="D412" s="3"/>
      <c r="E412" s="1"/>
      <c r="F412" s="1"/>
      <c r="G412" s="1"/>
      <c r="H412" s="1"/>
      <c r="I412" s="4"/>
      <c r="J412" s="4"/>
      <c r="K412" s="4"/>
      <c r="L412" s="4"/>
      <c r="M412" s="4"/>
      <c r="N412" s="4"/>
      <c r="O412" s="4"/>
      <c r="P412" s="5"/>
      <c r="Q412" s="1"/>
    </row>
    <row r="413" spans="2:17">
      <c r="B413" s="1"/>
      <c r="C413" s="2"/>
      <c r="D413" s="3"/>
      <c r="E413" s="1"/>
      <c r="F413" s="1"/>
      <c r="G413" s="1"/>
      <c r="H413" s="1"/>
      <c r="I413" s="4"/>
      <c r="J413" s="4"/>
      <c r="K413" s="4"/>
      <c r="L413" s="4"/>
      <c r="M413" s="4"/>
      <c r="N413" s="4"/>
      <c r="O413" s="4"/>
      <c r="P413" s="5"/>
      <c r="Q413" s="1"/>
    </row>
    <row r="414" spans="2:17">
      <c r="B414" s="1"/>
      <c r="C414" s="2"/>
      <c r="D414" s="3"/>
      <c r="E414" s="1"/>
      <c r="F414" s="1"/>
      <c r="G414" s="1"/>
      <c r="H414" s="1"/>
      <c r="I414" s="4"/>
      <c r="J414" s="4"/>
      <c r="K414" s="4"/>
      <c r="L414" s="4"/>
      <c r="M414" s="4"/>
      <c r="N414" s="4"/>
      <c r="O414" s="4"/>
      <c r="P414" s="5"/>
      <c r="Q414" s="1"/>
    </row>
    <row r="415" spans="2:17">
      <c r="B415" s="1"/>
      <c r="C415" s="2"/>
      <c r="D415" s="3"/>
      <c r="E415" s="1"/>
      <c r="F415" s="1"/>
      <c r="G415" s="1"/>
      <c r="H415" s="1"/>
      <c r="I415" s="4"/>
      <c r="J415" s="4"/>
      <c r="K415" s="4"/>
      <c r="L415" s="4"/>
      <c r="M415" s="4"/>
      <c r="N415" s="4"/>
      <c r="O415" s="4"/>
      <c r="P415" s="5"/>
      <c r="Q415" s="1"/>
    </row>
    <row r="416" spans="2:17">
      <c r="B416" s="1"/>
      <c r="C416" s="2"/>
      <c r="D416" s="3"/>
      <c r="E416" s="1"/>
      <c r="F416" s="1"/>
      <c r="G416" s="1"/>
      <c r="H416" s="1"/>
      <c r="I416" s="4"/>
      <c r="J416" s="4"/>
      <c r="K416" s="4"/>
      <c r="L416" s="4"/>
      <c r="M416" s="4"/>
      <c r="N416" s="4"/>
      <c r="O416" s="4"/>
      <c r="P416" s="5"/>
      <c r="Q416" s="1"/>
    </row>
    <row r="417" spans="2:17">
      <c r="B417" s="1"/>
      <c r="C417" s="2"/>
      <c r="D417" s="3"/>
      <c r="E417" s="1"/>
      <c r="F417" s="1"/>
      <c r="G417" s="1"/>
      <c r="H417" s="1"/>
      <c r="I417" s="4"/>
      <c r="J417" s="4"/>
      <c r="K417" s="4"/>
      <c r="L417" s="4"/>
      <c r="M417" s="4"/>
      <c r="N417" s="4"/>
      <c r="O417" s="4"/>
      <c r="P417" s="5"/>
      <c r="Q417" s="1"/>
    </row>
    <row r="418" spans="2:17">
      <c r="B418" s="1"/>
      <c r="C418" s="2"/>
      <c r="D418" s="3"/>
      <c r="E418" s="1"/>
      <c r="F418" s="1"/>
      <c r="G418" s="1"/>
      <c r="H418" s="1"/>
      <c r="I418" s="4"/>
      <c r="J418" s="4"/>
      <c r="K418" s="4"/>
      <c r="L418" s="4"/>
      <c r="M418" s="4"/>
      <c r="N418" s="4"/>
      <c r="O418" s="4"/>
      <c r="P418" s="5"/>
      <c r="Q418" s="1"/>
    </row>
    <row r="419" spans="2:17">
      <c r="B419" s="1"/>
      <c r="C419" s="2"/>
      <c r="D419" s="3"/>
      <c r="E419" s="1"/>
      <c r="F419" s="1"/>
      <c r="G419" s="1"/>
      <c r="H419" s="1"/>
      <c r="I419" s="4"/>
      <c r="J419" s="4"/>
      <c r="K419" s="4"/>
      <c r="L419" s="4"/>
      <c r="M419" s="4"/>
      <c r="N419" s="4"/>
      <c r="O419" s="4"/>
      <c r="P419" s="5"/>
      <c r="Q419" s="1"/>
    </row>
    <row r="420" spans="2:17">
      <c r="B420" s="1"/>
      <c r="C420" s="2"/>
      <c r="D420" s="3"/>
      <c r="E420" s="1"/>
      <c r="F420" s="1"/>
      <c r="G420" s="1"/>
      <c r="H420" s="1"/>
      <c r="I420" s="4"/>
      <c r="J420" s="4"/>
      <c r="K420" s="4"/>
      <c r="L420" s="4"/>
      <c r="M420" s="4"/>
      <c r="N420" s="4"/>
      <c r="O420" s="4"/>
      <c r="P420" s="5"/>
      <c r="Q420" s="1"/>
    </row>
    <row r="421" spans="2:17">
      <c r="B421" s="1"/>
      <c r="C421" s="2"/>
      <c r="D421" s="3"/>
      <c r="E421" s="1"/>
      <c r="F421" s="1"/>
      <c r="G421" s="1"/>
      <c r="H421" s="1"/>
      <c r="I421" s="4"/>
      <c r="J421" s="4"/>
      <c r="K421" s="4"/>
      <c r="L421" s="4"/>
      <c r="M421" s="4"/>
      <c r="N421" s="4"/>
      <c r="O421" s="4"/>
      <c r="P421" s="5"/>
      <c r="Q421" s="1"/>
    </row>
    <row r="422" spans="2:17">
      <c r="B422" s="1"/>
      <c r="C422" s="2"/>
      <c r="D422" s="3"/>
      <c r="E422" s="1"/>
      <c r="F422" s="1"/>
      <c r="G422" s="1"/>
      <c r="H422" s="1"/>
      <c r="I422" s="4"/>
      <c r="J422" s="4"/>
      <c r="K422" s="4"/>
      <c r="L422" s="4"/>
      <c r="M422" s="4"/>
      <c r="N422" s="4"/>
      <c r="O422" s="4"/>
      <c r="P422" s="5"/>
      <c r="Q422" s="1"/>
    </row>
    <row r="423" spans="2:17">
      <c r="B423" s="1"/>
      <c r="C423" s="2"/>
      <c r="D423" s="3"/>
      <c r="E423" s="1"/>
      <c r="F423" s="1"/>
      <c r="G423" s="1"/>
      <c r="H423" s="1"/>
      <c r="I423" s="4"/>
      <c r="J423" s="4"/>
      <c r="K423" s="4"/>
      <c r="L423" s="4"/>
      <c r="M423" s="4"/>
      <c r="N423" s="4"/>
      <c r="O423" s="4"/>
      <c r="P423" s="5"/>
      <c r="Q423" s="1"/>
    </row>
    <row r="424" spans="2:17">
      <c r="B424" s="1"/>
      <c r="C424" s="2"/>
      <c r="D424" s="3"/>
      <c r="E424" s="1"/>
      <c r="F424" s="1"/>
      <c r="G424" s="1"/>
      <c r="H424" s="1"/>
      <c r="I424" s="4"/>
      <c r="J424" s="4"/>
      <c r="K424" s="4"/>
      <c r="L424" s="4"/>
      <c r="M424" s="4"/>
      <c r="N424" s="4"/>
      <c r="O424" s="4"/>
      <c r="P424" s="5"/>
      <c r="Q424" s="1"/>
    </row>
    <row r="425" spans="2:17">
      <c r="B425" s="1"/>
      <c r="C425" s="2"/>
      <c r="D425" s="3"/>
      <c r="E425" s="1"/>
      <c r="F425" s="1"/>
      <c r="G425" s="1"/>
      <c r="H425" s="1"/>
      <c r="I425" s="4"/>
      <c r="J425" s="4"/>
      <c r="K425" s="4"/>
      <c r="L425" s="4"/>
      <c r="M425" s="4"/>
      <c r="N425" s="4"/>
      <c r="O425" s="4"/>
      <c r="P425" s="5"/>
      <c r="Q425" s="1"/>
    </row>
    <row r="426" spans="2:17">
      <c r="B426" s="1"/>
      <c r="C426" s="2"/>
      <c r="D426" s="3"/>
      <c r="E426" s="1"/>
      <c r="F426" s="1"/>
      <c r="G426" s="1"/>
      <c r="H426" s="1"/>
      <c r="I426" s="4"/>
      <c r="J426" s="4"/>
      <c r="K426" s="4"/>
      <c r="L426" s="4"/>
      <c r="M426" s="4"/>
      <c r="N426" s="4"/>
      <c r="O426" s="4"/>
      <c r="P426" s="5"/>
      <c r="Q426" s="1"/>
    </row>
    <row r="427" spans="2:17">
      <c r="B427" s="1"/>
      <c r="C427" s="2"/>
      <c r="D427" s="3"/>
      <c r="E427" s="1"/>
      <c r="F427" s="1"/>
      <c r="G427" s="1"/>
      <c r="H427" s="1"/>
      <c r="I427" s="4"/>
      <c r="J427" s="4"/>
      <c r="K427" s="4"/>
      <c r="L427" s="4"/>
      <c r="M427" s="4"/>
      <c r="N427" s="4"/>
      <c r="O427" s="4"/>
      <c r="P427" s="5"/>
      <c r="Q427" s="1"/>
    </row>
    <row r="428" spans="2:17">
      <c r="B428" s="1"/>
      <c r="C428" s="2"/>
      <c r="D428" s="3"/>
      <c r="E428" s="1"/>
      <c r="F428" s="1"/>
      <c r="G428" s="1"/>
      <c r="H428" s="1"/>
      <c r="I428" s="4"/>
      <c r="J428" s="4"/>
      <c r="K428" s="4"/>
      <c r="L428" s="4"/>
      <c r="M428" s="4"/>
      <c r="N428" s="4"/>
      <c r="O428" s="4"/>
      <c r="P428" s="5"/>
      <c r="Q428" s="1"/>
    </row>
    <row r="429" spans="2:17">
      <c r="B429" s="1"/>
      <c r="C429" s="2"/>
      <c r="D429" s="3"/>
      <c r="E429" s="1"/>
      <c r="F429" s="1"/>
      <c r="G429" s="1"/>
      <c r="H429" s="1"/>
      <c r="I429" s="4"/>
      <c r="J429" s="4"/>
      <c r="K429" s="4"/>
      <c r="L429" s="4"/>
      <c r="M429" s="4"/>
      <c r="N429" s="4"/>
      <c r="O429" s="4"/>
      <c r="P429" s="5"/>
      <c r="Q429" s="1"/>
    </row>
    <row r="430" spans="2:17">
      <c r="B430" s="1"/>
      <c r="C430" s="2"/>
      <c r="D430" s="3"/>
      <c r="E430" s="1"/>
      <c r="F430" s="1"/>
      <c r="G430" s="1"/>
      <c r="H430" s="1"/>
      <c r="I430" s="4"/>
      <c r="J430" s="4"/>
      <c r="K430" s="4"/>
      <c r="L430" s="4"/>
      <c r="M430" s="4"/>
      <c r="N430" s="4"/>
      <c r="O430" s="4"/>
      <c r="P430" s="5"/>
      <c r="Q430" s="1"/>
    </row>
    <row r="431" spans="2:17">
      <c r="B431" s="1"/>
      <c r="C431" s="2"/>
      <c r="D431" s="3"/>
      <c r="E431" s="1"/>
      <c r="F431" s="1"/>
      <c r="G431" s="1"/>
      <c r="H431" s="1"/>
      <c r="I431" s="4"/>
      <c r="J431" s="4"/>
      <c r="K431" s="4"/>
      <c r="L431" s="4"/>
      <c r="M431" s="4"/>
      <c r="N431" s="4"/>
      <c r="O431" s="4"/>
      <c r="P431" s="5"/>
      <c r="Q431" s="1"/>
    </row>
    <row r="432" spans="2:17">
      <c r="B432" s="1"/>
      <c r="C432" s="2"/>
      <c r="D432" s="3"/>
      <c r="E432" s="1"/>
      <c r="F432" s="1"/>
      <c r="G432" s="1"/>
      <c r="H432" s="1"/>
      <c r="I432" s="4"/>
      <c r="J432" s="4"/>
      <c r="K432" s="4"/>
      <c r="L432" s="4"/>
      <c r="M432" s="4"/>
      <c r="N432" s="4"/>
      <c r="O432" s="4"/>
      <c r="P432" s="5"/>
      <c r="Q432" s="1"/>
    </row>
    <row r="433" spans="2:17">
      <c r="B433" s="1"/>
      <c r="C433" s="2"/>
      <c r="D433" s="3"/>
      <c r="E433" s="1"/>
      <c r="F433" s="1"/>
      <c r="G433" s="1"/>
      <c r="H433" s="1"/>
      <c r="I433" s="4"/>
      <c r="J433" s="4"/>
      <c r="K433" s="4"/>
      <c r="L433" s="4"/>
      <c r="M433" s="4"/>
      <c r="N433" s="4"/>
      <c r="O433" s="4"/>
      <c r="P433" s="5"/>
      <c r="Q433" s="1"/>
    </row>
    <row r="434" spans="2:17">
      <c r="B434" s="1"/>
      <c r="C434" s="2"/>
      <c r="D434" s="3"/>
      <c r="E434" s="1"/>
      <c r="F434" s="1"/>
      <c r="G434" s="1"/>
      <c r="H434" s="1"/>
      <c r="I434" s="4"/>
      <c r="J434" s="4"/>
      <c r="K434" s="4"/>
      <c r="L434" s="4"/>
      <c r="M434" s="4"/>
      <c r="N434" s="4"/>
      <c r="O434" s="4"/>
      <c r="P434" s="5"/>
      <c r="Q434" s="1"/>
    </row>
    <row r="435" spans="2:17">
      <c r="B435" s="1"/>
      <c r="C435" s="2"/>
      <c r="D435" s="3"/>
      <c r="E435" s="1"/>
      <c r="F435" s="1"/>
      <c r="G435" s="1"/>
      <c r="H435" s="1"/>
      <c r="I435" s="4"/>
      <c r="J435" s="4"/>
      <c r="K435" s="4"/>
      <c r="L435" s="4"/>
      <c r="M435" s="4"/>
      <c r="N435" s="4"/>
      <c r="O435" s="4"/>
      <c r="P435" s="5"/>
      <c r="Q435" s="1"/>
    </row>
    <row r="436" spans="2:17">
      <c r="B436" s="1"/>
      <c r="C436" s="2"/>
      <c r="D436" s="3"/>
      <c r="E436" s="1"/>
      <c r="F436" s="1"/>
      <c r="G436" s="1"/>
      <c r="H436" s="1"/>
      <c r="I436" s="4"/>
      <c r="J436" s="4"/>
      <c r="K436" s="4"/>
      <c r="L436" s="4"/>
      <c r="M436" s="4"/>
      <c r="N436" s="4"/>
      <c r="O436" s="4"/>
      <c r="P436" s="5"/>
      <c r="Q436" s="1"/>
    </row>
    <row r="437" spans="2:17">
      <c r="B437" s="1"/>
      <c r="C437" s="2"/>
      <c r="D437" s="3"/>
      <c r="E437" s="1"/>
      <c r="F437" s="1"/>
      <c r="G437" s="1"/>
      <c r="H437" s="1"/>
      <c r="I437" s="4"/>
      <c r="J437" s="4"/>
      <c r="K437" s="4"/>
      <c r="L437" s="4"/>
      <c r="M437" s="4"/>
      <c r="N437" s="4"/>
      <c r="O437" s="4"/>
      <c r="P437" s="5"/>
      <c r="Q437" s="1"/>
    </row>
    <row r="438" spans="2:17">
      <c r="B438" s="1"/>
      <c r="C438" s="2"/>
      <c r="D438" s="3"/>
      <c r="E438" s="1"/>
      <c r="F438" s="1"/>
      <c r="G438" s="1"/>
      <c r="H438" s="1"/>
      <c r="I438" s="4"/>
      <c r="J438" s="4"/>
      <c r="K438" s="4"/>
      <c r="L438" s="4"/>
      <c r="M438" s="4"/>
      <c r="N438" s="4"/>
      <c r="O438" s="4"/>
      <c r="P438" s="5"/>
      <c r="Q438" s="1"/>
    </row>
    <row r="439" spans="2:17">
      <c r="B439" s="1"/>
      <c r="C439" s="2"/>
      <c r="D439" s="3"/>
      <c r="E439" s="1"/>
      <c r="F439" s="1"/>
      <c r="G439" s="1"/>
      <c r="H439" s="1"/>
      <c r="I439" s="4"/>
      <c r="J439" s="4"/>
      <c r="K439" s="4"/>
      <c r="L439" s="4"/>
      <c r="M439" s="4"/>
      <c r="N439" s="4"/>
      <c r="O439" s="4"/>
      <c r="P439" s="5"/>
      <c r="Q439" s="1"/>
    </row>
    <row r="440" spans="2:17">
      <c r="B440" s="1"/>
      <c r="C440" s="2"/>
      <c r="D440" s="3"/>
      <c r="E440" s="1"/>
      <c r="F440" s="1"/>
      <c r="G440" s="1"/>
      <c r="H440" s="1"/>
      <c r="I440" s="4"/>
      <c r="J440" s="4"/>
      <c r="K440" s="4"/>
      <c r="L440" s="4"/>
      <c r="M440" s="4"/>
      <c r="N440" s="4"/>
      <c r="O440" s="4"/>
      <c r="P440" s="5"/>
      <c r="Q440" s="1"/>
    </row>
    <row r="441" spans="2:17">
      <c r="B441" s="1"/>
      <c r="C441" s="2"/>
      <c r="D441" s="3"/>
      <c r="E441" s="1"/>
      <c r="F441" s="1"/>
      <c r="G441" s="1"/>
      <c r="H441" s="1"/>
      <c r="I441" s="4"/>
      <c r="J441" s="4"/>
      <c r="K441" s="4"/>
      <c r="L441" s="4"/>
      <c r="M441" s="4"/>
      <c r="N441" s="4"/>
      <c r="O441" s="4"/>
      <c r="P441" s="5"/>
      <c r="Q441" s="1"/>
    </row>
    <row r="442" spans="2:17">
      <c r="B442" s="1"/>
      <c r="C442" s="2"/>
      <c r="D442" s="3"/>
      <c r="E442" s="1"/>
      <c r="F442" s="1"/>
      <c r="G442" s="1"/>
      <c r="H442" s="1"/>
      <c r="I442" s="4"/>
      <c r="J442" s="4"/>
      <c r="K442" s="4"/>
      <c r="L442" s="4"/>
      <c r="M442" s="4"/>
      <c r="N442" s="4"/>
      <c r="O442" s="4"/>
      <c r="P442" s="5"/>
      <c r="Q442" s="1"/>
    </row>
    <row r="443" spans="2:17">
      <c r="B443" s="1"/>
      <c r="C443" s="2"/>
      <c r="D443" s="3"/>
      <c r="E443" s="1"/>
      <c r="F443" s="1"/>
      <c r="G443" s="1"/>
      <c r="H443" s="1"/>
      <c r="I443" s="4"/>
      <c r="J443" s="4"/>
      <c r="K443" s="4"/>
      <c r="L443" s="4"/>
      <c r="M443" s="4"/>
      <c r="N443" s="4"/>
      <c r="O443" s="4"/>
      <c r="P443" s="5"/>
      <c r="Q443" s="1"/>
    </row>
    <row r="444" spans="2:17">
      <c r="B444" s="1"/>
      <c r="C444" s="2"/>
      <c r="D444" s="3"/>
      <c r="E444" s="1"/>
      <c r="F444" s="1"/>
      <c r="G444" s="1"/>
      <c r="H444" s="1"/>
      <c r="I444" s="4"/>
      <c r="J444" s="4"/>
      <c r="K444" s="4"/>
      <c r="L444" s="4"/>
      <c r="M444" s="4"/>
      <c r="N444" s="4"/>
      <c r="O444" s="4"/>
      <c r="P444" s="5"/>
      <c r="Q444" s="1"/>
    </row>
    <row r="445" spans="2:17">
      <c r="B445" s="1"/>
      <c r="C445" s="2"/>
      <c r="D445" s="3"/>
      <c r="E445" s="1"/>
      <c r="F445" s="1"/>
      <c r="G445" s="1"/>
      <c r="H445" s="1"/>
      <c r="I445" s="4"/>
      <c r="J445" s="4"/>
      <c r="K445" s="4"/>
      <c r="L445" s="4"/>
      <c r="M445" s="4"/>
      <c r="N445" s="4"/>
      <c r="O445" s="4"/>
      <c r="P445" s="5"/>
      <c r="Q445" s="1"/>
    </row>
    <row r="446" spans="2:17">
      <c r="B446" s="1"/>
      <c r="C446" s="2"/>
      <c r="D446" s="3"/>
      <c r="E446" s="1"/>
      <c r="F446" s="1"/>
      <c r="G446" s="1"/>
      <c r="H446" s="1"/>
      <c r="I446" s="4"/>
      <c r="J446" s="4"/>
      <c r="K446" s="4"/>
      <c r="L446" s="4"/>
      <c r="M446" s="4"/>
      <c r="N446" s="4"/>
      <c r="O446" s="4"/>
      <c r="P446" s="5"/>
      <c r="Q446" s="1"/>
    </row>
    <row r="447" spans="2:17">
      <c r="B447" s="1"/>
      <c r="C447" s="2"/>
      <c r="D447" s="3"/>
      <c r="E447" s="1"/>
      <c r="F447" s="1"/>
      <c r="G447" s="1"/>
      <c r="H447" s="1"/>
      <c r="I447" s="4"/>
      <c r="J447" s="4"/>
      <c r="K447" s="4"/>
      <c r="L447" s="4"/>
      <c r="M447" s="4"/>
      <c r="N447" s="4"/>
      <c r="O447" s="4"/>
      <c r="P447" s="5"/>
      <c r="Q447" s="1"/>
    </row>
    <row r="448" spans="2:17">
      <c r="B448" s="1"/>
      <c r="C448" s="2"/>
      <c r="D448" s="3"/>
      <c r="E448" s="1"/>
      <c r="F448" s="1"/>
      <c r="G448" s="1"/>
      <c r="H448" s="1"/>
      <c r="I448" s="4"/>
      <c r="J448" s="4"/>
      <c r="K448" s="4"/>
      <c r="L448" s="4"/>
      <c r="M448" s="4"/>
      <c r="N448" s="4"/>
      <c r="O448" s="4"/>
      <c r="P448" s="5"/>
      <c r="Q448" s="1"/>
    </row>
    <row r="449" spans="2:17">
      <c r="B449" s="1"/>
      <c r="C449" s="2"/>
      <c r="D449" s="3"/>
      <c r="E449" s="1"/>
      <c r="F449" s="1"/>
      <c r="G449" s="1"/>
      <c r="H449" s="1"/>
      <c r="I449" s="4"/>
      <c r="J449" s="4"/>
      <c r="K449" s="4"/>
      <c r="L449" s="4"/>
      <c r="M449" s="4"/>
      <c r="N449" s="4"/>
      <c r="O449" s="4"/>
      <c r="P449" s="5"/>
      <c r="Q449" s="1"/>
    </row>
    <row r="450" spans="2:17">
      <c r="B450" s="1"/>
      <c r="C450" s="2"/>
      <c r="D450" s="3"/>
      <c r="E450" s="1"/>
      <c r="F450" s="1"/>
      <c r="G450" s="1"/>
      <c r="H450" s="1"/>
      <c r="I450" s="4"/>
      <c r="J450" s="4"/>
      <c r="K450" s="4"/>
      <c r="L450" s="4"/>
      <c r="M450" s="4"/>
      <c r="N450" s="4"/>
      <c r="O450" s="4"/>
      <c r="P450" s="5"/>
      <c r="Q450" s="1"/>
    </row>
    <row r="451" spans="2:17">
      <c r="B451" s="1"/>
      <c r="C451" s="2"/>
      <c r="D451" s="3"/>
      <c r="E451" s="1"/>
      <c r="F451" s="1"/>
      <c r="G451" s="1"/>
      <c r="H451" s="1"/>
      <c r="I451" s="4"/>
      <c r="J451" s="4"/>
      <c r="K451" s="4"/>
      <c r="L451" s="4"/>
      <c r="M451" s="4"/>
      <c r="N451" s="4"/>
      <c r="O451" s="4"/>
      <c r="P451" s="5"/>
      <c r="Q451" s="1"/>
    </row>
    <row r="452" spans="2:17">
      <c r="B452" s="1"/>
      <c r="C452" s="2"/>
      <c r="D452" s="3"/>
      <c r="E452" s="1"/>
      <c r="F452" s="1"/>
      <c r="G452" s="1"/>
      <c r="H452" s="1"/>
      <c r="I452" s="4"/>
      <c r="J452" s="4"/>
      <c r="K452" s="4"/>
      <c r="L452" s="4"/>
      <c r="M452" s="4"/>
      <c r="N452" s="4"/>
      <c r="O452" s="4"/>
      <c r="P452" s="5"/>
      <c r="Q452" s="1"/>
    </row>
    <row r="453" spans="2:17">
      <c r="B453" s="1"/>
      <c r="C453" s="2"/>
      <c r="D453" s="3"/>
      <c r="E453" s="1"/>
      <c r="F453" s="1"/>
      <c r="G453" s="1"/>
      <c r="H453" s="1"/>
      <c r="I453" s="4"/>
      <c r="J453" s="4"/>
      <c r="K453" s="4"/>
      <c r="L453" s="4"/>
      <c r="M453" s="4"/>
      <c r="N453" s="4"/>
      <c r="O453" s="4"/>
      <c r="P453" s="5"/>
      <c r="Q453" s="1"/>
    </row>
    <row r="454" spans="2:17">
      <c r="B454" s="1"/>
      <c r="C454" s="2"/>
      <c r="D454" s="3"/>
      <c r="E454" s="1"/>
      <c r="F454" s="1"/>
      <c r="G454" s="1"/>
      <c r="H454" s="1"/>
      <c r="I454" s="4"/>
      <c r="J454" s="4"/>
      <c r="K454" s="4"/>
      <c r="L454" s="4"/>
      <c r="M454" s="4"/>
      <c r="N454" s="4"/>
      <c r="O454" s="4"/>
      <c r="P454" s="5"/>
      <c r="Q454" s="1"/>
    </row>
    <row r="455" spans="2:17">
      <c r="B455" s="1"/>
      <c r="C455" s="2"/>
      <c r="D455" s="3"/>
      <c r="E455" s="1"/>
      <c r="F455" s="1"/>
      <c r="G455" s="1"/>
      <c r="H455" s="1"/>
      <c r="I455" s="4"/>
      <c r="J455" s="4"/>
      <c r="K455" s="4"/>
      <c r="L455" s="4"/>
      <c r="M455" s="4"/>
      <c r="N455" s="4"/>
      <c r="O455" s="4"/>
      <c r="P455" s="5"/>
      <c r="Q455" s="1"/>
    </row>
    <row r="456" spans="2:17">
      <c r="B456" s="1"/>
      <c r="C456" s="2"/>
      <c r="D456" s="3"/>
      <c r="E456" s="1"/>
      <c r="F456" s="1"/>
      <c r="G456" s="1"/>
      <c r="H456" s="1"/>
      <c r="I456" s="4"/>
      <c r="J456" s="4"/>
      <c r="K456" s="4"/>
      <c r="L456" s="4"/>
      <c r="M456" s="4"/>
      <c r="N456" s="4"/>
      <c r="O456" s="4"/>
      <c r="P456" s="5"/>
      <c r="Q456" s="1"/>
    </row>
    <row r="457" spans="2:17">
      <c r="B457" s="1"/>
      <c r="C457" s="2"/>
      <c r="D457" s="3"/>
      <c r="E457" s="1"/>
      <c r="F457" s="1"/>
      <c r="G457" s="1"/>
      <c r="H457" s="1"/>
      <c r="I457" s="4"/>
      <c r="J457" s="4"/>
      <c r="K457" s="4"/>
      <c r="L457" s="4"/>
      <c r="M457" s="4"/>
      <c r="N457" s="4"/>
      <c r="O457" s="4"/>
      <c r="P457" s="5"/>
      <c r="Q457" s="1"/>
    </row>
    <row r="458" spans="2:17">
      <c r="B458" s="1"/>
      <c r="C458" s="2"/>
      <c r="D458" s="3"/>
      <c r="E458" s="1"/>
      <c r="F458" s="1"/>
      <c r="G458" s="1"/>
      <c r="H458" s="1"/>
      <c r="I458" s="4"/>
      <c r="J458" s="4"/>
      <c r="K458" s="4"/>
      <c r="L458" s="4"/>
      <c r="M458" s="4"/>
      <c r="N458" s="4"/>
      <c r="O458" s="4"/>
      <c r="P458" s="5"/>
      <c r="Q458" s="1"/>
    </row>
    <row r="459" spans="2:17">
      <c r="B459" s="1"/>
      <c r="C459" s="2"/>
      <c r="D459" s="3"/>
      <c r="E459" s="1"/>
      <c r="F459" s="1"/>
      <c r="G459" s="1"/>
      <c r="H459" s="1"/>
      <c r="I459" s="4"/>
      <c r="J459" s="4"/>
      <c r="K459" s="4"/>
      <c r="L459" s="4"/>
      <c r="M459" s="4"/>
      <c r="N459" s="4"/>
      <c r="O459" s="4"/>
      <c r="P459" s="5"/>
      <c r="Q459" s="1"/>
    </row>
    <row r="460" spans="2:17">
      <c r="B460" s="1"/>
      <c r="C460" s="2"/>
      <c r="D460" s="3"/>
      <c r="E460" s="1"/>
      <c r="F460" s="1"/>
      <c r="G460" s="1"/>
      <c r="H460" s="1"/>
      <c r="I460" s="4"/>
      <c r="J460" s="4"/>
      <c r="K460" s="4"/>
      <c r="L460" s="4"/>
      <c r="M460" s="4"/>
      <c r="N460" s="4"/>
      <c r="O460" s="4"/>
      <c r="P460" s="5"/>
      <c r="Q460" s="1"/>
    </row>
    <row r="461" spans="2:17">
      <c r="B461" s="1"/>
      <c r="C461" s="2"/>
      <c r="D461" s="3"/>
      <c r="E461" s="1"/>
      <c r="F461" s="1"/>
      <c r="G461" s="1"/>
      <c r="H461" s="1"/>
      <c r="I461" s="4"/>
      <c r="J461" s="4"/>
      <c r="K461" s="4"/>
      <c r="L461" s="4"/>
      <c r="M461" s="4"/>
      <c r="N461" s="4"/>
      <c r="O461" s="4"/>
      <c r="P461" s="5"/>
      <c r="Q461" s="1"/>
    </row>
    <row r="462" spans="2:17">
      <c r="B462" s="1"/>
      <c r="C462" s="2"/>
      <c r="D462" s="3"/>
      <c r="E462" s="1"/>
      <c r="F462" s="1"/>
      <c r="G462" s="1"/>
      <c r="H462" s="1"/>
      <c r="I462" s="4"/>
      <c r="J462" s="4"/>
      <c r="K462" s="4"/>
      <c r="L462" s="4"/>
      <c r="M462" s="4"/>
      <c r="N462" s="4"/>
      <c r="O462" s="4"/>
      <c r="P462" s="5"/>
      <c r="Q462" s="1"/>
    </row>
    <row r="463" spans="2:17">
      <c r="B463" s="1"/>
      <c r="C463" s="2"/>
      <c r="D463" s="3"/>
      <c r="E463" s="1"/>
      <c r="F463" s="1"/>
      <c r="G463" s="1"/>
      <c r="H463" s="1"/>
      <c r="I463" s="4"/>
      <c r="J463" s="4"/>
      <c r="K463" s="4"/>
      <c r="L463" s="4"/>
      <c r="M463" s="4"/>
      <c r="N463" s="4"/>
      <c r="O463" s="4"/>
      <c r="P463" s="5"/>
      <c r="Q463" s="1"/>
    </row>
    <row r="464" spans="2:17">
      <c r="B464" s="1"/>
      <c r="C464" s="2"/>
      <c r="D464" s="3"/>
      <c r="E464" s="1"/>
      <c r="F464" s="1"/>
      <c r="G464" s="1"/>
      <c r="H464" s="1"/>
      <c r="I464" s="4"/>
      <c r="J464" s="4"/>
      <c r="K464" s="4"/>
      <c r="L464" s="4"/>
      <c r="M464" s="4"/>
      <c r="N464" s="4"/>
      <c r="O464" s="4"/>
      <c r="P464" s="5"/>
      <c r="Q464" s="1"/>
    </row>
    <row r="465" spans="2:17">
      <c r="B465" s="1"/>
      <c r="C465" s="2"/>
      <c r="D465" s="3"/>
      <c r="E465" s="1"/>
      <c r="F465" s="1"/>
      <c r="G465" s="1"/>
      <c r="H465" s="1"/>
      <c r="I465" s="4"/>
      <c r="J465" s="4"/>
      <c r="K465" s="4"/>
      <c r="L465" s="4"/>
      <c r="M465" s="4"/>
      <c r="N465" s="4"/>
      <c r="O465" s="4"/>
      <c r="P465" s="5"/>
      <c r="Q465" s="1"/>
    </row>
    <row r="466" spans="2:17">
      <c r="B466" s="1"/>
      <c r="C466" s="2"/>
      <c r="D466" s="3"/>
      <c r="E466" s="1"/>
      <c r="F466" s="1"/>
      <c r="G466" s="1"/>
      <c r="H466" s="1"/>
      <c r="I466" s="4"/>
      <c r="J466" s="4"/>
      <c r="K466" s="4"/>
      <c r="L466" s="4"/>
      <c r="M466" s="4"/>
      <c r="N466" s="4"/>
      <c r="O466" s="4"/>
      <c r="P466" s="5"/>
      <c r="Q466" s="1"/>
    </row>
    <row r="467" spans="2:17">
      <c r="B467" s="1"/>
      <c r="C467" s="2"/>
      <c r="D467" s="3"/>
      <c r="E467" s="1"/>
      <c r="F467" s="1"/>
      <c r="G467" s="1"/>
      <c r="H467" s="1"/>
      <c r="I467" s="4"/>
      <c r="J467" s="4"/>
      <c r="K467" s="4"/>
      <c r="L467" s="4"/>
      <c r="M467" s="4"/>
      <c r="N467" s="4"/>
      <c r="O467" s="4"/>
      <c r="P467" s="5"/>
      <c r="Q467" s="1"/>
    </row>
    <row r="468" spans="2:17">
      <c r="B468" s="1"/>
      <c r="C468" s="2"/>
      <c r="D468" s="3"/>
      <c r="E468" s="1"/>
      <c r="F468" s="1"/>
      <c r="G468" s="1"/>
      <c r="H468" s="1"/>
      <c r="I468" s="4"/>
      <c r="J468" s="4"/>
      <c r="K468" s="4"/>
      <c r="L468" s="4"/>
      <c r="M468" s="4"/>
      <c r="N468" s="4"/>
      <c r="O468" s="4"/>
      <c r="P468" s="5"/>
      <c r="Q468" s="1"/>
    </row>
    <row r="469" spans="2:17">
      <c r="B469" s="1"/>
      <c r="C469" s="2"/>
      <c r="D469" s="3"/>
      <c r="E469" s="1"/>
      <c r="F469" s="1"/>
      <c r="G469" s="1"/>
      <c r="H469" s="1"/>
      <c r="I469" s="4"/>
      <c r="J469" s="4"/>
      <c r="K469" s="4"/>
      <c r="L469" s="4"/>
      <c r="M469" s="4"/>
      <c r="N469" s="4"/>
      <c r="O469" s="4"/>
      <c r="P469" s="5"/>
      <c r="Q469" s="1"/>
    </row>
    <row r="470" spans="2:17">
      <c r="B470" s="1"/>
      <c r="C470" s="2"/>
      <c r="D470" s="3"/>
      <c r="E470" s="1"/>
      <c r="F470" s="1"/>
      <c r="G470" s="1"/>
      <c r="H470" s="1"/>
      <c r="I470" s="4"/>
      <c r="J470" s="4"/>
      <c r="K470" s="4"/>
      <c r="L470" s="4"/>
      <c r="M470" s="4"/>
      <c r="N470" s="4"/>
      <c r="O470" s="4"/>
      <c r="P470" s="5"/>
      <c r="Q470" s="1"/>
    </row>
    <row r="471" spans="2:17">
      <c r="B471" s="1"/>
      <c r="C471" s="2"/>
      <c r="D471" s="3"/>
      <c r="E471" s="1"/>
      <c r="F471" s="1"/>
      <c r="G471" s="1"/>
      <c r="H471" s="1"/>
      <c r="I471" s="4"/>
      <c r="J471" s="4"/>
      <c r="K471" s="4"/>
      <c r="L471" s="4"/>
      <c r="M471" s="4"/>
      <c r="N471" s="4"/>
      <c r="O471" s="4"/>
      <c r="P471" s="5"/>
      <c r="Q471" s="1"/>
    </row>
    <row r="472" spans="2:17">
      <c r="B472" s="1"/>
      <c r="C472" s="2"/>
      <c r="D472" s="3"/>
      <c r="E472" s="1"/>
      <c r="F472" s="1"/>
      <c r="G472" s="1"/>
      <c r="H472" s="1"/>
      <c r="I472" s="4"/>
      <c r="J472" s="4"/>
      <c r="K472" s="4"/>
      <c r="L472" s="4"/>
      <c r="M472" s="4"/>
      <c r="N472" s="4"/>
      <c r="O472" s="4"/>
      <c r="P472" s="5"/>
      <c r="Q472" s="1"/>
    </row>
    <row r="473" spans="2:17">
      <c r="B473" s="1"/>
      <c r="C473" s="2"/>
      <c r="D473" s="3"/>
      <c r="E473" s="1"/>
      <c r="F473" s="1"/>
      <c r="G473" s="1"/>
      <c r="H473" s="1"/>
      <c r="I473" s="4"/>
      <c r="J473" s="4"/>
      <c r="K473" s="4"/>
      <c r="L473" s="4"/>
      <c r="M473" s="4"/>
      <c r="N473" s="4"/>
      <c r="O473" s="4"/>
      <c r="P473" s="5"/>
      <c r="Q473" s="1"/>
    </row>
    <row r="474" spans="2:17">
      <c r="B474" s="1"/>
      <c r="C474" s="2"/>
      <c r="D474" s="3"/>
      <c r="E474" s="1"/>
      <c r="F474" s="1"/>
      <c r="G474" s="1"/>
      <c r="H474" s="1"/>
      <c r="I474" s="4"/>
      <c r="J474" s="4"/>
      <c r="K474" s="4"/>
      <c r="L474" s="4"/>
      <c r="M474" s="4"/>
      <c r="N474" s="4"/>
      <c r="O474" s="4"/>
      <c r="P474" s="5"/>
      <c r="Q474" s="1"/>
    </row>
    <row r="475" spans="2:17">
      <c r="B475" s="1"/>
      <c r="C475" s="2"/>
      <c r="D475" s="3"/>
      <c r="E475" s="1"/>
      <c r="F475" s="1"/>
      <c r="G475" s="1"/>
      <c r="H475" s="1"/>
      <c r="I475" s="4"/>
      <c r="J475" s="4"/>
      <c r="K475" s="4"/>
      <c r="L475" s="4"/>
      <c r="M475" s="4"/>
      <c r="N475" s="4"/>
      <c r="O475" s="4"/>
      <c r="P475" s="5"/>
      <c r="Q475" s="1"/>
    </row>
    <row r="476" spans="2:17">
      <c r="B476" s="1"/>
      <c r="C476" s="2"/>
      <c r="D476" s="3"/>
      <c r="E476" s="1"/>
      <c r="F476" s="1"/>
      <c r="G476" s="1"/>
      <c r="H476" s="1"/>
      <c r="I476" s="4"/>
      <c r="J476" s="4"/>
      <c r="K476" s="4"/>
      <c r="L476" s="4"/>
      <c r="M476" s="4"/>
      <c r="N476" s="4"/>
      <c r="O476" s="4"/>
      <c r="P476" s="5"/>
      <c r="Q476" s="1"/>
    </row>
    <row r="477" spans="2:17">
      <c r="B477" s="1"/>
      <c r="C477" s="2"/>
      <c r="D477" s="3"/>
      <c r="E477" s="1"/>
      <c r="F477" s="1"/>
      <c r="G477" s="1"/>
      <c r="H477" s="1"/>
      <c r="I477" s="4"/>
      <c r="J477" s="4"/>
      <c r="K477" s="4"/>
      <c r="L477" s="4"/>
      <c r="M477" s="4"/>
      <c r="N477" s="4"/>
      <c r="O477" s="4"/>
      <c r="P477" s="5"/>
      <c r="Q477" s="1"/>
    </row>
    <row r="478" spans="2:17">
      <c r="B478" s="1"/>
      <c r="C478" s="2"/>
      <c r="D478" s="3"/>
      <c r="E478" s="1"/>
      <c r="F478" s="1"/>
      <c r="G478" s="1"/>
      <c r="H478" s="1"/>
      <c r="I478" s="4"/>
      <c r="J478" s="4"/>
      <c r="K478" s="4"/>
      <c r="L478" s="4"/>
      <c r="M478" s="4"/>
      <c r="N478" s="4"/>
      <c r="O478" s="4"/>
      <c r="P478" s="5"/>
      <c r="Q478" s="1"/>
    </row>
    <row r="479" spans="2:17">
      <c r="B479" s="1"/>
      <c r="C479" s="2"/>
      <c r="D479" s="3"/>
      <c r="E479" s="1"/>
      <c r="F479" s="1"/>
      <c r="G479" s="1"/>
      <c r="H479" s="1"/>
      <c r="I479" s="4"/>
      <c r="J479" s="4"/>
      <c r="K479" s="4"/>
      <c r="L479" s="4"/>
      <c r="M479" s="4"/>
      <c r="N479" s="4"/>
      <c r="O479" s="4"/>
      <c r="P479" s="5"/>
      <c r="Q479" s="1"/>
    </row>
    <row r="480" spans="2:17">
      <c r="B480" s="1"/>
      <c r="C480" s="2"/>
      <c r="D480" s="3"/>
      <c r="E480" s="1"/>
      <c r="F480" s="1"/>
      <c r="G480" s="1"/>
      <c r="H480" s="1"/>
      <c r="I480" s="4"/>
      <c r="J480" s="4"/>
      <c r="K480" s="4"/>
      <c r="L480" s="4"/>
      <c r="M480" s="4"/>
      <c r="N480" s="4"/>
      <c r="O480" s="4"/>
      <c r="P480" s="5"/>
      <c r="Q480" s="1"/>
    </row>
    <row r="481" spans="2:17">
      <c r="B481" s="1"/>
      <c r="C481" s="2"/>
      <c r="D481" s="3"/>
      <c r="E481" s="1"/>
      <c r="F481" s="1"/>
      <c r="G481" s="1"/>
      <c r="H481" s="1"/>
      <c r="I481" s="4"/>
      <c r="J481" s="4"/>
      <c r="K481" s="4"/>
      <c r="L481" s="4"/>
      <c r="M481" s="4"/>
      <c r="N481" s="4"/>
      <c r="O481" s="4"/>
      <c r="P481" s="5"/>
      <c r="Q481" s="1"/>
    </row>
    <row r="482" spans="2:17">
      <c r="B482" s="1"/>
      <c r="C482" s="2"/>
      <c r="D482" s="3"/>
      <c r="E482" s="1"/>
      <c r="F482" s="1"/>
      <c r="G482" s="1"/>
      <c r="H482" s="1"/>
      <c r="I482" s="4"/>
      <c r="J482" s="4"/>
      <c r="K482" s="4"/>
      <c r="L482" s="4"/>
      <c r="M482" s="4"/>
      <c r="N482" s="4"/>
      <c r="O482" s="4"/>
      <c r="P482" s="5"/>
      <c r="Q482" s="1"/>
    </row>
    <row r="483" spans="2:17">
      <c r="B483" s="1"/>
      <c r="C483" s="2"/>
      <c r="D483" s="3"/>
      <c r="E483" s="1"/>
      <c r="F483" s="1"/>
      <c r="G483" s="1"/>
      <c r="H483" s="1"/>
      <c r="I483" s="4"/>
      <c r="J483" s="4"/>
      <c r="K483" s="4"/>
      <c r="L483" s="4"/>
      <c r="M483" s="4"/>
      <c r="N483" s="4"/>
      <c r="O483" s="4"/>
      <c r="P483" s="5"/>
      <c r="Q483" s="1"/>
    </row>
    <row r="484" spans="2:17">
      <c r="B484" s="1"/>
      <c r="C484" s="2"/>
      <c r="D484" s="3"/>
      <c r="E484" s="1"/>
      <c r="F484" s="1"/>
      <c r="G484" s="1"/>
      <c r="H484" s="1"/>
      <c r="I484" s="4"/>
      <c r="J484" s="4"/>
      <c r="K484" s="4"/>
      <c r="L484" s="4"/>
      <c r="M484" s="4"/>
      <c r="N484" s="4"/>
      <c r="O484" s="4"/>
      <c r="P484" s="5"/>
      <c r="Q484" s="1"/>
    </row>
    <row r="485" spans="2:17">
      <c r="B485" s="1"/>
      <c r="C485" s="2"/>
      <c r="D485" s="3"/>
      <c r="E485" s="1"/>
      <c r="F485" s="1"/>
      <c r="G485" s="1"/>
      <c r="H485" s="1"/>
      <c r="I485" s="4"/>
      <c r="J485" s="4"/>
      <c r="K485" s="4"/>
      <c r="L485" s="4"/>
      <c r="M485" s="4"/>
      <c r="N485" s="4"/>
      <c r="O485" s="4"/>
      <c r="P485" s="5"/>
      <c r="Q485" s="1"/>
    </row>
    <row r="486" spans="2:17">
      <c r="B486" s="1"/>
      <c r="C486" s="2"/>
      <c r="D486" s="3"/>
      <c r="E486" s="1"/>
      <c r="F486" s="1"/>
      <c r="G486" s="1"/>
      <c r="H486" s="1"/>
      <c r="I486" s="4"/>
      <c r="J486" s="4"/>
      <c r="K486" s="4"/>
      <c r="L486" s="4"/>
      <c r="M486" s="4"/>
      <c r="N486" s="4"/>
      <c r="O486" s="4"/>
      <c r="P486" s="5"/>
      <c r="Q486" s="1"/>
    </row>
    <row r="487" spans="2:17">
      <c r="B487" s="1"/>
      <c r="C487" s="2"/>
      <c r="D487" s="3"/>
      <c r="E487" s="1"/>
      <c r="F487" s="1"/>
      <c r="G487" s="1"/>
      <c r="H487" s="1"/>
      <c r="I487" s="4"/>
      <c r="J487" s="4"/>
      <c r="K487" s="4"/>
      <c r="L487" s="4"/>
      <c r="M487" s="4"/>
      <c r="N487" s="4"/>
      <c r="O487" s="4"/>
      <c r="P487" s="5"/>
      <c r="Q487" s="1"/>
    </row>
    <row r="488" spans="2:17">
      <c r="B488" s="1"/>
      <c r="C488" s="2"/>
      <c r="D488" s="3"/>
      <c r="E488" s="1"/>
      <c r="F488" s="1"/>
      <c r="G488" s="1"/>
      <c r="H488" s="1"/>
      <c r="I488" s="4"/>
      <c r="J488" s="4"/>
      <c r="K488" s="4"/>
      <c r="L488" s="4"/>
      <c r="M488" s="4"/>
      <c r="N488" s="4"/>
      <c r="O488" s="4"/>
      <c r="P488" s="5"/>
      <c r="Q488" s="1"/>
    </row>
    <row r="489" spans="2:17">
      <c r="B489" s="1"/>
      <c r="C489" s="2"/>
      <c r="D489" s="3"/>
      <c r="E489" s="1"/>
      <c r="F489" s="1"/>
      <c r="G489" s="1"/>
      <c r="H489" s="1"/>
      <c r="I489" s="4"/>
      <c r="J489" s="4"/>
      <c r="K489" s="4"/>
      <c r="L489" s="4"/>
      <c r="M489" s="4"/>
      <c r="N489" s="4"/>
      <c r="O489" s="4"/>
      <c r="P489" s="5"/>
      <c r="Q489" s="1"/>
    </row>
    <row r="490" spans="2:17">
      <c r="B490" s="1"/>
      <c r="C490" s="2"/>
      <c r="D490" s="3"/>
      <c r="E490" s="1"/>
      <c r="F490" s="1"/>
      <c r="G490" s="1"/>
      <c r="H490" s="1"/>
      <c r="I490" s="4"/>
      <c r="J490" s="4"/>
      <c r="K490" s="4"/>
      <c r="L490" s="4"/>
      <c r="M490" s="4"/>
      <c r="N490" s="4"/>
      <c r="O490" s="4"/>
      <c r="P490" s="5"/>
      <c r="Q490" s="1"/>
    </row>
    <row r="491" spans="2:17">
      <c r="B491" s="1"/>
      <c r="C491" s="2"/>
      <c r="D491" s="3"/>
      <c r="E491" s="1"/>
      <c r="F491" s="1"/>
      <c r="G491" s="1"/>
      <c r="H491" s="1"/>
      <c r="I491" s="4"/>
      <c r="J491" s="4"/>
      <c r="K491" s="4"/>
      <c r="L491" s="4"/>
      <c r="M491" s="4"/>
      <c r="N491" s="4"/>
      <c r="O491" s="4"/>
      <c r="P491" s="5"/>
      <c r="Q491" s="1"/>
    </row>
    <row r="492" spans="2:17">
      <c r="B492" s="1"/>
      <c r="C492" s="2"/>
      <c r="D492" s="3"/>
      <c r="E492" s="1"/>
      <c r="F492" s="1"/>
      <c r="G492" s="1"/>
      <c r="H492" s="1"/>
      <c r="I492" s="4"/>
      <c r="J492" s="4"/>
      <c r="K492" s="4"/>
      <c r="L492" s="4"/>
      <c r="M492" s="4"/>
      <c r="N492" s="4"/>
      <c r="O492" s="4"/>
      <c r="P492" s="5"/>
      <c r="Q492" s="1"/>
    </row>
    <row r="493" spans="2:17">
      <c r="B493" s="1"/>
      <c r="C493" s="2"/>
      <c r="D493" s="3"/>
      <c r="E493" s="1"/>
      <c r="F493" s="1"/>
      <c r="G493" s="1"/>
      <c r="H493" s="1"/>
      <c r="I493" s="4"/>
      <c r="J493" s="4"/>
      <c r="K493" s="4"/>
      <c r="L493" s="4"/>
      <c r="M493" s="4"/>
      <c r="N493" s="4"/>
      <c r="O493" s="4"/>
      <c r="P493" s="5"/>
      <c r="Q493" s="1"/>
    </row>
    <row r="494" spans="2:17">
      <c r="B494" s="1"/>
      <c r="C494" s="2"/>
      <c r="D494" s="3"/>
      <c r="E494" s="1"/>
      <c r="F494" s="1"/>
      <c r="G494" s="1"/>
      <c r="H494" s="1"/>
      <c r="I494" s="4"/>
      <c r="J494" s="4"/>
      <c r="K494" s="4"/>
      <c r="L494" s="4"/>
      <c r="M494" s="4"/>
      <c r="N494" s="4"/>
      <c r="O494" s="4"/>
      <c r="P494" s="5"/>
      <c r="Q494" s="1"/>
    </row>
    <row r="495" spans="2:17">
      <c r="B495" s="1"/>
      <c r="C495" s="2"/>
      <c r="D495" s="3"/>
      <c r="E495" s="1"/>
      <c r="F495" s="1"/>
      <c r="G495" s="1"/>
      <c r="H495" s="1"/>
      <c r="I495" s="4"/>
      <c r="J495" s="4"/>
      <c r="K495" s="4"/>
      <c r="L495" s="4"/>
      <c r="M495" s="4"/>
      <c r="N495" s="4"/>
      <c r="O495" s="4"/>
      <c r="P495" s="5"/>
      <c r="Q495" s="1"/>
    </row>
    <row r="496" spans="2:17">
      <c r="B496" s="1"/>
      <c r="C496" s="2"/>
      <c r="D496" s="3"/>
      <c r="E496" s="1"/>
      <c r="F496" s="1"/>
      <c r="G496" s="1"/>
      <c r="H496" s="1"/>
      <c r="I496" s="4"/>
      <c r="J496" s="4"/>
      <c r="K496" s="4"/>
      <c r="L496" s="4"/>
      <c r="M496" s="4"/>
      <c r="N496" s="4"/>
      <c r="O496" s="4"/>
      <c r="P496" s="5"/>
      <c r="Q496" s="1"/>
    </row>
    <row r="497" spans="2:17">
      <c r="B497" s="1"/>
      <c r="C497" s="2"/>
      <c r="D497" s="3"/>
      <c r="E497" s="1"/>
      <c r="F497" s="1"/>
      <c r="G497" s="1"/>
      <c r="H497" s="1"/>
      <c r="I497" s="4"/>
      <c r="J497" s="4"/>
      <c r="K497" s="4"/>
      <c r="L497" s="4"/>
      <c r="M497" s="4"/>
      <c r="N497" s="4"/>
      <c r="O497" s="4"/>
      <c r="P497" s="5"/>
      <c r="Q497" s="1"/>
    </row>
    <row r="498" spans="2:17">
      <c r="B498" s="1"/>
      <c r="C498" s="2"/>
      <c r="D498" s="3"/>
      <c r="E498" s="1"/>
      <c r="F498" s="1"/>
      <c r="G498" s="1"/>
      <c r="H498" s="1"/>
      <c r="I498" s="4"/>
      <c r="J498" s="4"/>
      <c r="K498" s="4"/>
      <c r="L498" s="4"/>
      <c r="M498" s="4"/>
      <c r="N498" s="4"/>
      <c r="O498" s="4"/>
      <c r="P498" s="5"/>
      <c r="Q498" s="1"/>
    </row>
    <row r="499" spans="2:17">
      <c r="B499" s="1"/>
      <c r="C499" s="2"/>
      <c r="D499" s="3"/>
      <c r="E499" s="1"/>
      <c r="F499" s="1"/>
      <c r="G499" s="1"/>
      <c r="H499" s="1"/>
      <c r="I499" s="4"/>
      <c r="J499" s="4"/>
      <c r="K499" s="4"/>
      <c r="L499" s="4"/>
      <c r="M499" s="4"/>
      <c r="N499" s="4"/>
      <c r="O499" s="4"/>
      <c r="P499" s="5"/>
      <c r="Q499" s="1"/>
    </row>
    <row r="500" spans="2:17">
      <c r="B500" s="1"/>
      <c r="C500" s="2"/>
      <c r="D500" s="3"/>
      <c r="E500" s="1"/>
      <c r="F500" s="1"/>
      <c r="G500" s="1"/>
      <c r="H500" s="1"/>
      <c r="I500" s="4"/>
      <c r="J500" s="4"/>
      <c r="K500" s="4"/>
      <c r="L500" s="4"/>
      <c r="M500" s="4"/>
      <c r="N500" s="4"/>
      <c r="O500" s="4"/>
      <c r="P500" s="5"/>
      <c r="Q500" s="1"/>
    </row>
    <row r="501" spans="2:17">
      <c r="B501" s="1"/>
      <c r="C501" s="2"/>
      <c r="D501" s="3"/>
      <c r="E501" s="1"/>
      <c r="F501" s="1"/>
      <c r="G501" s="1"/>
      <c r="H501" s="1"/>
      <c r="I501" s="4"/>
      <c r="J501" s="4"/>
      <c r="K501" s="4"/>
      <c r="L501" s="4"/>
      <c r="M501" s="4"/>
      <c r="N501" s="4"/>
      <c r="O501" s="4"/>
      <c r="P501" s="5"/>
      <c r="Q501" s="1"/>
    </row>
    <row r="502" spans="2:17">
      <c r="B502" s="1"/>
      <c r="C502" s="2"/>
      <c r="D502" s="3"/>
      <c r="E502" s="1"/>
      <c r="F502" s="1"/>
      <c r="G502" s="1"/>
      <c r="H502" s="1"/>
      <c r="I502" s="4"/>
      <c r="J502" s="4"/>
      <c r="K502" s="4"/>
      <c r="L502" s="4"/>
      <c r="M502" s="4"/>
      <c r="N502" s="4"/>
      <c r="O502" s="4"/>
      <c r="P502" s="5"/>
      <c r="Q502" s="1"/>
    </row>
    <row r="503" spans="2:17">
      <c r="B503" s="1"/>
      <c r="C503" s="2"/>
      <c r="D503" s="3"/>
      <c r="E503" s="1"/>
      <c r="F503" s="1"/>
      <c r="G503" s="1"/>
      <c r="H503" s="1"/>
      <c r="I503" s="4"/>
      <c r="J503" s="4"/>
      <c r="K503" s="4"/>
      <c r="L503" s="4"/>
      <c r="M503" s="4"/>
      <c r="N503" s="4"/>
      <c r="O503" s="4"/>
      <c r="P503" s="5"/>
      <c r="Q503" s="1"/>
    </row>
    <row r="504" spans="2:17">
      <c r="B504" s="1"/>
      <c r="C504" s="2"/>
      <c r="D504" s="3"/>
      <c r="E504" s="1"/>
      <c r="F504" s="1"/>
      <c r="G504" s="1"/>
      <c r="H504" s="1"/>
      <c r="I504" s="4"/>
      <c r="J504" s="4"/>
      <c r="K504" s="4"/>
      <c r="L504" s="4"/>
      <c r="M504" s="4"/>
      <c r="N504" s="4"/>
      <c r="O504" s="4"/>
      <c r="P504" s="5"/>
      <c r="Q504" s="1"/>
    </row>
    <row r="505" spans="2:17">
      <c r="B505" s="1"/>
      <c r="C505" s="2"/>
      <c r="D505" s="3"/>
      <c r="E505" s="1"/>
      <c r="F505" s="1"/>
      <c r="G505" s="1"/>
      <c r="H505" s="1"/>
      <c r="I505" s="4"/>
      <c r="J505" s="4"/>
      <c r="K505" s="4"/>
      <c r="L505" s="4"/>
      <c r="M505" s="4"/>
      <c r="N505" s="4"/>
      <c r="O505" s="4"/>
      <c r="P505" s="5"/>
      <c r="Q505" s="1"/>
    </row>
    <row r="506" spans="2:17">
      <c r="B506" s="1"/>
      <c r="C506" s="2"/>
      <c r="D506" s="3"/>
      <c r="E506" s="1"/>
      <c r="F506" s="1"/>
      <c r="G506" s="1"/>
      <c r="H506" s="1"/>
      <c r="I506" s="4"/>
      <c r="J506" s="4"/>
      <c r="K506" s="4"/>
      <c r="L506" s="4"/>
      <c r="M506" s="4"/>
      <c r="N506" s="4"/>
      <c r="O506" s="4"/>
      <c r="P506" s="5"/>
      <c r="Q506" s="1"/>
    </row>
    <row r="507" spans="2:17">
      <c r="B507" s="1"/>
      <c r="C507" s="2"/>
      <c r="D507" s="3"/>
      <c r="E507" s="1"/>
      <c r="F507" s="1"/>
      <c r="G507" s="1"/>
      <c r="H507" s="1"/>
      <c r="I507" s="4"/>
      <c r="J507" s="4"/>
      <c r="K507" s="4"/>
      <c r="L507" s="4"/>
      <c r="M507" s="4"/>
      <c r="N507" s="4"/>
      <c r="O507" s="4"/>
      <c r="P507" s="5"/>
      <c r="Q507" s="1"/>
    </row>
    <row r="508" spans="2:17">
      <c r="B508" s="1"/>
      <c r="C508" s="2"/>
      <c r="D508" s="3"/>
      <c r="E508" s="1"/>
      <c r="F508" s="1"/>
      <c r="G508" s="1"/>
      <c r="H508" s="1"/>
      <c r="I508" s="4"/>
      <c r="J508" s="4"/>
      <c r="K508" s="4"/>
      <c r="L508" s="4"/>
      <c r="M508" s="4"/>
      <c r="N508" s="4"/>
      <c r="O508" s="4"/>
      <c r="P508" s="5"/>
      <c r="Q508" s="1"/>
    </row>
    <row r="509" spans="2:17">
      <c r="B509" s="1"/>
      <c r="C509" s="2"/>
      <c r="D509" s="3"/>
      <c r="E509" s="1"/>
      <c r="F509" s="1"/>
      <c r="G509" s="1"/>
      <c r="H509" s="1"/>
      <c r="I509" s="4"/>
      <c r="J509" s="4"/>
      <c r="K509" s="4"/>
      <c r="L509" s="4"/>
      <c r="M509" s="4"/>
      <c r="N509" s="4"/>
      <c r="O509" s="4"/>
      <c r="P509" s="5"/>
      <c r="Q509" s="1"/>
    </row>
    <row r="510" spans="2:17">
      <c r="B510" s="1"/>
      <c r="C510" s="2"/>
      <c r="D510" s="3"/>
      <c r="E510" s="1"/>
      <c r="F510" s="1"/>
      <c r="G510" s="1"/>
      <c r="H510" s="1"/>
      <c r="I510" s="4"/>
      <c r="J510" s="4"/>
      <c r="K510" s="4"/>
      <c r="L510" s="4"/>
      <c r="M510" s="4"/>
      <c r="N510" s="4"/>
      <c r="O510" s="4"/>
      <c r="P510" s="5"/>
      <c r="Q510" s="1"/>
    </row>
    <row r="511" spans="2:17">
      <c r="B511" s="1"/>
      <c r="C511" s="2"/>
      <c r="D511" s="3"/>
      <c r="E511" s="1"/>
      <c r="F511" s="1"/>
      <c r="G511" s="1"/>
      <c r="H511" s="1"/>
      <c r="I511" s="4"/>
      <c r="J511" s="4"/>
      <c r="K511" s="4"/>
      <c r="L511" s="4"/>
      <c r="M511" s="4"/>
      <c r="N511" s="4"/>
      <c r="O511" s="4"/>
      <c r="P511" s="5"/>
      <c r="Q511" s="1"/>
    </row>
    <row r="512" spans="2:17">
      <c r="B512" s="1"/>
      <c r="C512" s="2"/>
      <c r="D512" s="3"/>
      <c r="E512" s="1"/>
      <c r="F512" s="1"/>
      <c r="G512" s="1"/>
      <c r="H512" s="1"/>
      <c r="I512" s="4"/>
      <c r="J512" s="4"/>
      <c r="K512" s="4"/>
      <c r="L512" s="4"/>
      <c r="M512" s="4"/>
      <c r="N512" s="4"/>
      <c r="O512" s="4"/>
      <c r="P512" s="5"/>
      <c r="Q512" s="1"/>
    </row>
    <row r="513" spans="2:17">
      <c r="B513" s="1"/>
      <c r="C513" s="2"/>
      <c r="D513" s="3"/>
      <c r="E513" s="1"/>
      <c r="F513" s="1"/>
      <c r="G513" s="1"/>
      <c r="H513" s="1"/>
      <c r="I513" s="4"/>
      <c r="J513" s="4"/>
      <c r="K513" s="4"/>
      <c r="L513" s="4"/>
      <c r="M513" s="4"/>
      <c r="N513" s="4"/>
      <c r="O513" s="4"/>
      <c r="P513" s="5"/>
      <c r="Q513" s="1"/>
    </row>
    <row r="514" spans="2:17">
      <c r="B514" s="1"/>
      <c r="C514" s="2"/>
      <c r="D514" s="3"/>
      <c r="E514" s="1"/>
      <c r="F514" s="1"/>
      <c r="G514" s="1"/>
      <c r="H514" s="1"/>
      <c r="I514" s="4"/>
      <c r="J514" s="4"/>
      <c r="K514" s="4"/>
      <c r="L514" s="4"/>
      <c r="M514" s="4"/>
      <c r="N514" s="4"/>
      <c r="O514" s="4"/>
      <c r="P514" s="5"/>
      <c r="Q514" s="1"/>
    </row>
    <row r="515" spans="2:17">
      <c r="B515" s="1"/>
      <c r="C515" s="2"/>
      <c r="D515" s="3"/>
      <c r="E515" s="1"/>
      <c r="F515" s="1"/>
      <c r="G515" s="1"/>
      <c r="H515" s="1"/>
      <c r="I515" s="4"/>
      <c r="J515" s="4"/>
      <c r="K515" s="4"/>
      <c r="L515" s="4"/>
      <c r="M515" s="4"/>
      <c r="N515" s="4"/>
      <c r="O515" s="4"/>
      <c r="P515" s="5"/>
      <c r="Q515" s="1"/>
    </row>
    <row r="516" spans="2:17">
      <c r="B516" s="1"/>
      <c r="C516" s="2"/>
      <c r="D516" s="3"/>
      <c r="E516" s="1"/>
      <c r="F516" s="1"/>
      <c r="G516" s="1"/>
      <c r="H516" s="1"/>
      <c r="I516" s="4"/>
      <c r="J516" s="4"/>
      <c r="K516" s="4"/>
      <c r="L516" s="4"/>
      <c r="M516" s="4"/>
      <c r="N516" s="4"/>
      <c r="O516" s="4"/>
      <c r="P516" s="5"/>
      <c r="Q516" s="1"/>
    </row>
    <row r="517" spans="2:17">
      <c r="B517" s="1"/>
      <c r="C517" s="2"/>
      <c r="D517" s="3"/>
      <c r="E517" s="1"/>
      <c r="F517" s="1"/>
      <c r="G517" s="1"/>
      <c r="H517" s="1"/>
      <c r="I517" s="4"/>
      <c r="J517" s="4"/>
      <c r="K517" s="4"/>
      <c r="L517" s="4"/>
      <c r="M517" s="4"/>
      <c r="N517" s="4"/>
      <c r="O517" s="4"/>
      <c r="P517" s="5"/>
      <c r="Q517" s="1"/>
    </row>
    <row r="518" spans="2:17">
      <c r="B518" s="1"/>
      <c r="C518" s="2"/>
      <c r="D518" s="3"/>
      <c r="E518" s="1"/>
      <c r="F518" s="1"/>
      <c r="G518" s="1"/>
      <c r="H518" s="1"/>
      <c r="I518" s="4"/>
      <c r="J518" s="4"/>
      <c r="K518" s="4"/>
      <c r="L518" s="4"/>
      <c r="M518" s="4"/>
      <c r="N518" s="4"/>
      <c r="O518" s="4"/>
      <c r="P518" s="5"/>
      <c r="Q518" s="1"/>
    </row>
    <row r="519" spans="2:17">
      <c r="B519" s="1"/>
      <c r="C519" s="2"/>
      <c r="D519" s="3"/>
      <c r="E519" s="1"/>
      <c r="F519" s="1"/>
      <c r="G519" s="1"/>
      <c r="H519" s="1"/>
      <c r="I519" s="4"/>
      <c r="J519" s="4"/>
      <c r="K519" s="4"/>
      <c r="L519" s="4"/>
      <c r="M519" s="4"/>
      <c r="N519" s="4"/>
      <c r="O519" s="4"/>
      <c r="P519" s="5"/>
      <c r="Q519" s="1"/>
    </row>
    <row r="520" spans="2:17">
      <c r="B520" s="1"/>
      <c r="C520" s="2"/>
      <c r="D520" s="3"/>
      <c r="E520" s="1"/>
      <c r="F520" s="1"/>
      <c r="G520" s="1"/>
      <c r="H520" s="1"/>
      <c r="I520" s="4"/>
      <c r="J520" s="4"/>
      <c r="K520" s="4"/>
      <c r="L520" s="4"/>
      <c r="M520" s="4"/>
      <c r="N520" s="4"/>
      <c r="O520" s="4"/>
      <c r="P520" s="5"/>
      <c r="Q520" s="1"/>
    </row>
    <row r="521" spans="2:17">
      <c r="B521" s="1"/>
      <c r="C521" s="2"/>
      <c r="D521" s="3"/>
      <c r="E521" s="1"/>
      <c r="F521" s="1"/>
      <c r="G521" s="1"/>
      <c r="H521" s="1"/>
      <c r="I521" s="4"/>
      <c r="J521" s="4"/>
      <c r="K521" s="4"/>
      <c r="L521" s="4"/>
      <c r="M521" s="4"/>
      <c r="N521" s="4"/>
      <c r="O521" s="4"/>
      <c r="P521" s="5"/>
      <c r="Q521" s="1"/>
    </row>
    <row r="522" spans="2:17">
      <c r="B522" s="1"/>
      <c r="C522" s="2"/>
      <c r="D522" s="3"/>
      <c r="E522" s="1"/>
      <c r="F522" s="1"/>
      <c r="G522" s="1"/>
      <c r="H522" s="1"/>
      <c r="I522" s="4"/>
      <c r="J522" s="4"/>
      <c r="K522" s="4"/>
      <c r="L522" s="4"/>
      <c r="M522" s="4"/>
      <c r="N522" s="4"/>
      <c r="O522" s="4"/>
      <c r="P522" s="5"/>
      <c r="Q522" s="1"/>
    </row>
    <row r="523" spans="2:17">
      <c r="B523" s="1"/>
      <c r="C523" s="2"/>
      <c r="D523" s="3"/>
      <c r="E523" s="1"/>
      <c r="F523" s="1"/>
      <c r="G523" s="1"/>
      <c r="H523" s="1"/>
      <c r="I523" s="4"/>
      <c r="J523" s="4"/>
      <c r="K523" s="4"/>
      <c r="L523" s="4"/>
      <c r="M523" s="4"/>
      <c r="N523" s="4"/>
      <c r="O523" s="4"/>
      <c r="P523" s="5"/>
      <c r="Q523" s="1"/>
    </row>
    <row r="524" spans="2:17">
      <c r="B524" s="1"/>
      <c r="C524" s="2"/>
      <c r="D524" s="3"/>
      <c r="E524" s="1"/>
      <c r="F524" s="1"/>
      <c r="G524" s="1"/>
      <c r="H524" s="1"/>
      <c r="I524" s="4"/>
      <c r="J524" s="4"/>
      <c r="K524" s="4"/>
      <c r="L524" s="4"/>
      <c r="M524" s="4"/>
      <c r="N524" s="4"/>
      <c r="O524" s="4"/>
      <c r="P524" s="5"/>
      <c r="Q524" s="1"/>
    </row>
    <row r="525" spans="2:17">
      <c r="B525" s="1"/>
      <c r="C525" s="2"/>
      <c r="D525" s="3"/>
      <c r="E525" s="1"/>
      <c r="F525" s="1"/>
      <c r="G525" s="1"/>
      <c r="H525" s="1"/>
      <c r="I525" s="4"/>
      <c r="J525" s="4"/>
      <c r="K525" s="4"/>
      <c r="L525" s="4"/>
      <c r="M525" s="4"/>
      <c r="N525" s="4"/>
      <c r="O525" s="4"/>
      <c r="P525" s="5"/>
      <c r="Q525" s="1"/>
    </row>
    <row r="526" spans="2:17">
      <c r="B526" s="1"/>
      <c r="C526" s="2"/>
      <c r="D526" s="3"/>
      <c r="E526" s="1"/>
      <c r="F526" s="1"/>
      <c r="G526" s="1"/>
      <c r="H526" s="1"/>
      <c r="I526" s="4"/>
      <c r="J526" s="4"/>
      <c r="K526" s="4"/>
      <c r="L526" s="4"/>
      <c r="M526" s="4"/>
      <c r="N526" s="4"/>
      <c r="O526" s="4"/>
      <c r="P526" s="5"/>
      <c r="Q526" s="1"/>
    </row>
    <row r="527" spans="2:17">
      <c r="B527" s="1"/>
      <c r="C527" s="2"/>
      <c r="D527" s="3"/>
      <c r="E527" s="1"/>
      <c r="F527" s="1"/>
      <c r="G527" s="1"/>
      <c r="H527" s="1"/>
      <c r="I527" s="4"/>
      <c r="J527" s="4"/>
      <c r="K527" s="4"/>
      <c r="L527" s="4"/>
      <c r="M527" s="4"/>
      <c r="N527" s="4"/>
      <c r="O527" s="4"/>
      <c r="P527" s="5"/>
      <c r="Q527" s="1"/>
    </row>
    <row r="528" spans="2:17">
      <c r="B528" s="1"/>
      <c r="C528" s="2"/>
      <c r="D528" s="3"/>
      <c r="E528" s="1"/>
      <c r="F528" s="1"/>
      <c r="G528" s="1"/>
      <c r="H528" s="1"/>
      <c r="I528" s="4"/>
      <c r="J528" s="4"/>
      <c r="K528" s="4"/>
      <c r="L528" s="4"/>
      <c r="M528" s="4"/>
      <c r="N528" s="4"/>
      <c r="O528" s="4"/>
      <c r="P528" s="5"/>
      <c r="Q528" s="1"/>
    </row>
    <row r="529" spans="2:17">
      <c r="B529" s="1"/>
      <c r="C529" s="2"/>
      <c r="D529" s="3"/>
      <c r="E529" s="1"/>
      <c r="F529" s="1"/>
      <c r="G529" s="1"/>
      <c r="H529" s="1"/>
      <c r="I529" s="4"/>
      <c r="J529" s="4"/>
      <c r="K529" s="4"/>
      <c r="L529" s="4"/>
      <c r="M529" s="4"/>
      <c r="N529" s="4"/>
      <c r="O529" s="4"/>
      <c r="P529" s="5"/>
      <c r="Q529" s="1"/>
    </row>
    <row r="530" spans="2:17">
      <c r="B530" s="1"/>
      <c r="C530" s="2"/>
      <c r="D530" s="3"/>
      <c r="E530" s="1"/>
      <c r="F530" s="1"/>
      <c r="G530" s="1"/>
      <c r="H530" s="1"/>
      <c r="I530" s="4"/>
      <c r="J530" s="4"/>
      <c r="K530" s="4"/>
      <c r="L530" s="4"/>
      <c r="M530" s="4"/>
      <c r="N530" s="4"/>
      <c r="O530" s="4"/>
      <c r="P530" s="5"/>
      <c r="Q530" s="1"/>
    </row>
    <row r="531" spans="2:17">
      <c r="B531" s="1"/>
      <c r="C531" s="2"/>
      <c r="D531" s="3"/>
      <c r="E531" s="1"/>
      <c r="F531" s="1"/>
      <c r="G531" s="1"/>
      <c r="H531" s="1"/>
      <c r="I531" s="4"/>
      <c r="J531" s="4"/>
      <c r="K531" s="4"/>
      <c r="L531" s="4"/>
      <c r="M531" s="4"/>
      <c r="N531" s="4"/>
      <c r="O531" s="4"/>
      <c r="P531" s="5"/>
      <c r="Q531" s="1"/>
    </row>
    <row r="532" spans="2:17">
      <c r="B532" s="1"/>
      <c r="C532" s="2"/>
      <c r="D532" s="3"/>
      <c r="E532" s="1"/>
      <c r="F532" s="1"/>
      <c r="G532" s="1"/>
      <c r="H532" s="1"/>
      <c r="I532" s="4"/>
      <c r="J532" s="4"/>
      <c r="K532" s="4"/>
      <c r="L532" s="4"/>
      <c r="M532" s="4"/>
      <c r="N532" s="4"/>
      <c r="O532" s="4"/>
      <c r="P532" s="5"/>
      <c r="Q532" s="1"/>
    </row>
    <row r="533" spans="2:17">
      <c r="B533" s="1"/>
      <c r="C533" s="2"/>
      <c r="D533" s="3"/>
      <c r="E533" s="1"/>
      <c r="F533" s="1"/>
      <c r="G533" s="1"/>
      <c r="H533" s="1"/>
      <c r="I533" s="4"/>
      <c r="J533" s="4"/>
      <c r="K533" s="4"/>
      <c r="L533" s="4"/>
      <c r="M533" s="4"/>
      <c r="N533" s="4"/>
      <c r="O533" s="4"/>
      <c r="P533" s="5"/>
      <c r="Q533" s="1"/>
    </row>
    <row r="534" spans="2:17">
      <c r="B534" s="1"/>
      <c r="C534" s="2"/>
      <c r="D534" s="3"/>
      <c r="E534" s="1"/>
      <c r="F534" s="1"/>
      <c r="G534" s="1"/>
      <c r="H534" s="1"/>
      <c r="I534" s="4"/>
      <c r="J534" s="4"/>
      <c r="K534" s="4"/>
      <c r="L534" s="4"/>
      <c r="M534" s="4"/>
      <c r="N534" s="4"/>
      <c r="O534" s="4"/>
      <c r="P534" s="5"/>
      <c r="Q534" s="1"/>
    </row>
    <row r="535" spans="2:17">
      <c r="B535" s="1"/>
      <c r="C535" s="2"/>
      <c r="D535" s="3"/>
      <c r="E535" s="1"/>
      <c r="F535" s="1"/>
      <c r="G535" s="1"/>
      <c r="H535" s="1"/>
      <c r="I535" s="4"/>
      <c r="J535" s="4"/>
      <c r="K535" s="4"/>
      <c r="L535" s="4"/>
      <c r="M535" s="4"/>
      <c r="N535" s="4"/>
      <c r="O535" s="4"/>
      <c r="P535" s="5"/>
      <c r="Q535" s="1"/>
    </row>
    <row r="536" spans="2:17">
      <c r="B536" s="1"/>
      <c r="C536" s="2"/>
      <c r="D536" s="3"/>
      <c r="E536" s="1"/>
      <c r="F536" s="1"/>
      <c r="G536" s="1"/>
      <c r="H536" s="1"/>
      <c r="I536" s="4"/>
      <c r="J536" s="4"/>
      <c r="K536" s="4"/>
      <c r="L536" s="4"/>
      <c r="M536" s="4"/>
      <c r="N536" s="4"/>
      <c r="O536" s="4"/>
      <c r="P536" s="5"/>
      <c r="Q536" s="1"/>
    </row>
    <row r="537" spans="2:17">
      <c r="B537" s="1"/>
      <c r="C537" s="2"/>
      <c r="D537" s="3"/>
      <c r="E537" s="1"/>
      <c r="F537" s="1"/>
      <c r="G537" s="1"/>
      <c r="H537" s="1"/>
      <c r="I537" s="4"/>
      <c r="J537" s="4"/>
      <c r="K537" s="4"/>
      <c r="L537" s="4"/>
      <c r="M537" s="4"/>
      <c r="N537" s="4"/>
      <c r="O537" s="4"/>
      <c r="P537" s="5"/>
      <c r="Q537" s="1"/>
    </row>
    <row r="538" spans="2:17">
      <c r="B538" s="1"/>
      <c r="C538" s="2"/>
      <c r="D538" s="3"/>
      <c r="E538" s="1"/>
      <c r="F538" s="1"/>
      <c r="G538" s="1"/>
      <c r="H538" s="1"/>
      <c r="I538" s="4"/>
      <c r="J538" s="4"/>
      <c r="K538" s="4"/>
      <c r="L538" s="4"/>
      <c r="M538" s="4"/>
      <c r="N538" s="4"/>
      <c r="O538" s="4"/>
      <c r="P538" s="5"/>
      <c r="Q538" s="1"/>
    </row>
    <row r="539" spans="2:17">
      <c r="B539" s="1"/>
      <c r="C539" s="2"/>
      <c r="D539" s="3"/>
      <c r="E539" s="1"/>
      <c r="F539" s="1"/>
      <c r="G539" s="1"/>
      <c r="H539" s="1"/>
      <c r="I539" s="4"/>
      <c r="J539" s="4"/>
      <c r="K539" s="4"/>
      <c r="L539" s="4"/>
      <c r="M539" s="4"/>
      <c r="N539" s="4"/>
      <c r="O539" s="4"/>
      <c r="P539" s="5"/>
      <c r="Q539" s="1"/>
    </row>
    <row r="540" spans="2:17">
      <c r="B540" s="1"/>
      <c r="C540" s="2"/>
      <c r="D540" s="3"/>
      <c r="E540" s="1"/>
      <c r="F540" s="1"/>
      <c r="G540" s="1"/>
      <c r="H540" s="1"/>
      <c r="I540" s="4"/>
      <c r="J540" s="4"/>
      <c r="K540" s="4"/>
      <c r="L540" s="4"/>
      <c r="M540" s="4"/>
      <c r="N540" s="4"/>
      <c r="O540" s="4"/>
      <c r="P540" s="5"/>
      <c r="Q540" s="1"/>
    </row>
    <row r="541" spans="2:17">
      <c r="B541" s="1"/>
      <c r="C541" s="2"/>
      <c r="D541" s="3"/>
      <c r="E541" s="1"/>
      <c r="F541" s="1"/>
      <c r="G541" s="1"/>
      <c r="H541" s="1"/>
      <c r="I541" s="4"/>
      <c r="J541" s="4"/>
      <c r="K541" s="4"/>
      <c r="L541" s="4"/>
      <c r="M541" s="4"/>
      <c r="N541" s="4"/>
      <c r="O541" s="4"/>
      <c r="P541" s="5"/>
      <c r="Q541" s="1"/>
    </row>
    <row r="542" spans="2:17">
      <c r="B542" s="1"/>
      <c r="C542" s="2"/>
      <c r="D542" s="3"/>
      <c r="E542" s="1"/>
      <c r="F542" s="1"/>
      <c r="G542" s="1"/>
      <c r="H542" s="1"/>
      <c r="I542" s="4"/>
      <c r="J542" s="4"/>
      <c r="K542" s="4"/>
      <c r="L542" s="4"/>
      <c r="M542" s="4"/>
      <c r="N542" s="4"/>
      <c r="O542" s="4"/>
      <c r="P542" s="5"/>
      <c r="Q542" s="1"/>
    </row>
    <row r="543" spans="2:17">
      <c r="B543" s="1"/>
      <c r="C543" s="2"/>
      <c r="D543" s="3"/>
      <c r="E543" s="1"/>
      <c r="F543" s="1"/>
      <c r="G543" s="1"/>
      <c r="H543" s="1"/>
      <c r="I543" s="4"/>
      <c r="J543" s="4"/>
      <c r="K543" s="4"/>
      <c r="L543" s="4"/>
      <c r="M543" s="4"/>
      <c r="N543" s="4"/>
      <c r="O543" s="4"/>
      <c r="P543" s="5"/>
      <c r="Q543" s="1"/>
    </row>
    <row r="544" spans="2:17">
      <c r="B544" s="1"/>
      <c r="C544" s="2"/>
      <c r="D544" s="3"/>
      <c r="E544" s="1"/>
      <c r="F544" s="1"/>
      <c r="G544" s="1"/>
      <c r="H544" s="1"/>
      <c r="I544" s="4"/>
      <c r="J544" s="4"/>
      <c r="K544" s="4"/>
      <c r="L544" s="4"/>
      <c r="M544" s="4"/>
      <c r="N544" s="4"/>
      <c r="O544" s="4"/>
      <c r="P544" s="5"/>
      <c r="Q544" s="1"/>
    </row>
    <row r="545" spans="2:17">
      <c r="B545" s="1"/>
      <c r="C545" s="2"/>
      <c r="D545" s="3"/>
      <c r="E545" s="1"/>
      <c r="F545" s="1"/>
      <c r="G545" s="1"/>
      <c r="H545" s="1"/>
      <c r="I545" s="4"/>
      <c r="J545" s="4"/>
      <c r="K545" s="4"/>
      <c r="L545" s="4"/>
      <c r="M545" s="4"/>
      <c r="N545" s="4"/>
      <c r="O545" s="4"/>
      <c r="P545" s="5"/>
      <c r="Q545" s="1"/>
    </row>
    <row r="546" spans="2:17">
      <c r="B546" s="1"/>
      <c r="C546" s="2"/>
      <c r="D546" s="3"/>
      <c r="E546" s="1"/>
      <c r="F546" s="1"/>
      <c r="G546" s="1"/>
      <c r="H546" s="1"/>
      <c r="I546" s="4"/>
      <c r="J546" s="4"/>
      <c r="K546" s="4"/>
      <c r="L546" s="4"/>
      <c r="M546" s="4"/>
      <c r="N546" s="4"/>
      <c r="O546" s="4"/>
      <c r="P546" s="5"/>
      <c r="Q546" s="1"/>
    </row>
    <row r="547" spans="2:17">
      <c r="B547" s="1"/>
      <c r="C547" s="2"/>
      <c r="D547" s="3"/>
      <c r="E547" s="1"/>
      <c r="F547" s="1"/>
      <c r="G547" s="1"/>
      <c r="H547" s="1"/>
      <c r="I547" s="4"/>
      <c r="J547" s="4"/>
      <c r="K547" s="4"/>
      <c r="L547" s="4"/>
      <c r="M547" s="4"/>
      <c r="N547" s="4"/>
      <c r="O547" s="4"/>
      <c r="P547" s="5"/>
      <c r="Q547" s="1"/>
    </row>
    <row r="548" spans="2:17">
      <c r="B548" s="1"/>
      <c r="C548" s="2"/>
      <c r="D548" s="3"/>
      <c r="E548" s="1"/>
      <c r="F548" s="1"/>
      <c r="G548" s="1"/>
      <c r="H548" s="1"/>
      <c r="I548" s="4"/>
      <c r="J548" s="4"/>
      <c r="K548" s="4"/>
      <c r="L548" s="4"/>
      <c r="M548" s="4"/>
      <c r="N548" s="4"/>
      <c r="O548" s="4"/>
      <c r="P548" s="5"/>
      <c r="Q548" s="1"/>
    </row>
    <row r="549" spans="2:17">
      <c r="B549" s="1"/>
      <c r="C549" s="2"/>
      <c r="D549" s="3"/>
      <c r="E549" s="1"/>
      <c r="F549" s="1"/>
      <c r="G549" s="1"/>
      <c r="H549" s="1"/>
      <c r="I549" s="4"/>
      <c r="J549" s="4"/>
      <c r="K549" s="4"/>
      <c r="L549" s="4"/>
      <c r="M549" s="4"/>
      <c r="N549" s="4"/>
      <c r="O549" s="4"/>
      <c r="P549" s="5"/>
      <c r="Q549" s="1"/>
    </row>
    <row r="550" spans="2:17">
      <c r="B550" s="1"/>
      <c r="C550" s="2"/>
      <c r="D550" s="3"/>
      <c r="E550" s="1"/>
      <c r="F550" s="1"/>
      <c r="G550" s="1"/>
      <c r="H550" s="1"/>
      <c r="I550" s="4"/>
      <c r="J550" s="4"/>
      <c r="K550" s="4"/>
      <c r="L550" s="4"/>
      <c r="M550" s="4"/>
      <c r="N550" s="4"/>
      <c r="O550" s="4"/>
      <c r="P550" s="5"/>
      <c r="Q550" s="1"/>
    </row>
    <row r="551" spans="2:17">
      <c r="B551" s="1"/>
      <c r="C551" s="2"/>
      <c r="D551" s="3"/>
      <c r="E551" s="1"/>
      <c r="F551" s="1"/>
      <c r="G551" s="1"/>
      <c r="H551" s="1"/>
      <c r="I551" s="4"/>
      <c r="J551" s="4"/>
      <c r="K551" s="4"/>
      <c r="L551" s="4"/>
      <c r="M551" s="4"/>
      <c r="N551" s="4"/>
      <c r="O551" s="4"/>
      <c r="P551" s="5"/>
      <c r="Q551" s="1"/>
    </row>
    <row r="552" spans="2:17">
      <c r="B552" s="1"/>
      <c r="C552" s="2"/>
      <c r="D552" s="3"/>
      <c r="E552" s="1"/>
      <c r="F552" s="1"/>
      <c r="G552" s="1"/>
      <c r="H552" s="1"/>
      <c r="I552" s="4"/>
      <c r="J552" s="4"/>
      <c r="K552" s="4"/>
      <c r="L552" s="4"/>
      <c r="M552" s="4"/>
      <c r="N552" s="4"/>
      <c r="O552" s="4"/>
      <c r="P552" s="5"/>
      <c r="Q552" s="1"/>
    </row>
    <row r="553" spans="2:17">
      <c r="B553" s="1"/>
      <c r="C553" s="2"/>
      <c r="D553" s="3"/>
      <c r="E553" s="1"/>
      <c r="F553" s="1"/>
      <c r="G553" s="1"/>
      <c r="H553" s="1"/>
      <c r="I553" s="4"/>
      <c r="J553" s="4"/>
      <c r="K553" s="4"/>
      <c r="L553" s="4"/>
      <c r="M553" s="4"/>
      <c r="N553" s="4"/>
      <c r="O553" s="4"/>
      <c r="P553" s="5"/>
      <c r="Q553" s="1"/>
    </row>
    <row r="554" spans="2:17">
      <c r="B554" s="1"/>
      <c r="C554" s="2"/>
      <c r="D554" s="3"/>
      <c r="E554" s="1"/>
      <c r="F554" s="1"/>
      <c r="G554" s="1"/>
      <c r="H554" s="1"/>
      <c r="I554" s="4"/>
      <c r="J554" s="4"/>
      <c r="K554" s="4"/>
      <c r="L554" s="4"/>
      <c r="M554" s="4"/>
      <c r="N554" s="4"/>
      <c r="O554" s="4"/>
      <c r="P554" s="5"/>
      <c r="Q554" s="1"/>
    </row>
    <row r="555" spans="2:17">
      <c r="B555" s="1"/>
      <c r="C555" s="2"/>
      <c r="D555" s="3"/>
      <c r="E555" s="1"/>
      <c r="F555" s="1"/>
      <c r="G555" s="1"/>
      <c r="H555" s="1"/>
      <c r="I555" s="4"/>
      <c r="J555" s="4"/>
      <c r="K555" s="4"/>
      <c r="L555" s="4"/>
      <c r="M555" s="4"/>
      <c r="N555" s="4"/>
      <c r="O555" s="4"/>
      <c r="P555" s="5"/>
      <c r="Q555" s="1"/>
    </row>
    <row r="556" spans="2:17">
      <c r="B556" s="1"/>
      <c r="C556" s="2"/>
      <c r="D556" s="3"/>
      <c r="E556" s="1"/>
      <c r="F556" s="1"/>
      <c r="G556" s="1"/>
      <c r="H556" s="1"/>
      <c r="I556" s="4"/>
      <c r="J556" s="4"/>
      <c r="K556" s="4"/>
      <c r="L556" s="4"/>
      <c r="M556" s="4"/>
      <c r="N556" s="4"/>
      <c r="O556" s="4"/>
      <c r="P556" s="5"/>
      <c r="Q556" s="1"/>
    </row>
    <row r="557" spans="2:17">
      <c r="B557" s="1"/>
      <c r="C557" s="2"/>
      <c r="D557" s="3"/>
      <c r="E557" s="1"/>
      <c r="F557" s="1"/>
      <c r="G557" s="1"/>
      <c r="H557" s="1"/>
      <c r="I557" s="4"/>
      <c r="J557" s="4"/>
      <c r="K557" s="4"/>
      <c r="L557" s="4"/>
      <c r="M557" s="4"/>
      <c r="N557" s="4"/>
      <c r="O557" s="4"/>
      <c r="P557" s="5"/>
      <c r="Q557" s="1"/>
    </row>
    <row r="558" spans="2:17">
      <c r="B558" s="1"/>
      <c r="C558" s="2"/>
      <c r="D558" s="3"/>
      <c r="E558" s="1"/>
      <c r="F558" s="1"/>
      <c r="G558" s="1"/>
      <c r="H558" s="1"/>
      <c r="I558" s="4"/>
      <c r="J558" s="4"/>
      <c r="K558" s="4"/>
      <c r="L558" s="4"/>
      <c r="M558" s="4"/>
      <c r="N558" s="4"/>
      <c r="O558" s="4"/>
      <c r="P558" s="5"/>
      <c r="Q558" s="1"/>
    </row>
    <row r="559" spans="2:17">
      <c r="B559" s="1"/>
      <c r="C559" s="2"/>
      <c r="D559" s="3"/>
      <c r="E559" s="1"/>
      <c r="F559" s="1"/>
      <c r="G559" s="1"/>
      <c r="H559" s="1"/>
      <c r="I559" s="4"/>
      <c r="J559" s="4"/>
      <c r="K559" s="4"/>
      <c r="L559" s="4"/>
      <c r="M559" s="4"/>
      <c r="N559" s="4"/>
      <c r="O559" s="4"/>
      <c r="P559" s="5"/>
      <c r="Q559" s="1"/>
    </row>
    <row r="560" spans="2:17">
      <c r="B560" s="1"/>
      <c r="C560" s="2"/>
      <c r="D560" s="3"/>
      <c r="E560" s="1"/>
      <c r="F560" s="1"/>
      <c r="G560" s="1"/>
      <c r="H560" s="1"/>
      <c r="I560" s="4"/>
      <c r="J560" s="4"/>
      <c r="K560" s="4"/>
      <c r="L560" s="4"/>
      <c r="M560" s="4"/>
      <c r="N560" s="4"/>
      <c r="O560" s="4"/>
      <c r="P560" s="5"/>
      <c r="Q560" s="1"/>
    </row>
    <row r="561" spans="2:17">
      <c r="B561" s="1"/>
      <c r="C561" s="2"/>
      <c r="D561" s="3"/>
      <c r="E561" s="1"/>
      <c r="F561" s="1"/>
      <c r="G561" s="1"/>
      <c r="H561" s="1"/>
      <c r="I561" s="4"/>
      <c r="J561" s="4"/>
      <c r="K561" s="4"/>
      <c r="L561" s="4"/>
      <c r="M561" s="4"/>
      <c r="N561" s="4"/>
      <c r="O561" s="4"/>
      <c r="P561" s="5"/>
      <c r="Q561" s="1"/>
    </row>
    <row r="562" spans="2:17">
      <c r="B562" s="1"/>
      <c r="C562" s="2"/>
      <c r="D562" s="3"/>
      <c r="E562" s="1"/>
      <c r="F562" s="1"/>
      <c r="G562" s="1"/>
      <c r="H562" s="1"/>
      <c r="I562" s="4"/>
      <c r="J562" s="4"/>
      <c r="K562" s="4"/>
      <c r="L562" s="4"/>
      <c r="M562" s="4"/>
      <c r="N562" s="4"/>
      <c r="O562" s="4"/>
      <c r="P562" s="5"/>
      <c r="Q562" s="1"/>
    </row>
    <row r="563" spans="2:17">
      <c r="B563" s="1"/>
      <c r="C563" s="2"/>
      <c r="D563" s="3"/>
      <c r="E563" s="1"/>
      <c r="F563" s="1"/>
      <c r="G563" s="1"/>
      <c r="H563" s="1"/>
      <c r="I563" s="4"/>
      <c r="J563" s="4"/>
      <c r="K563" s="4"/>
      <c r="L563" s="4"/>
      <c r="M563" s="4"/>
      <c r="N563" s="4"/>
      <c r="O563" s="4"/>
      <c r="P563" s="5"/>
      <c r="Q563" s="1"/>
    </row>
    <row r="564" spans="2:17">
      <c r="B564" s="1"/>
      <c r="C564" s="2"/>
      <c r="D564" s="3"/>
      <c r="E564" s="1"/>
      <c r="F564" s="1"/>
      <c r="G564" s="1"/>
      <c r="H564" s="1"/>
      <c r="I564" s="4"/>
      <c r="J564" s="4"/>
      <c r="K564" s="4"/>
      <c r="L564" s="4"/>
      <c r="M564" s="4"/>
      <c r="N564" s="4"/>
      <c r="O564" s="4"/>
      <c r="P564" s="5"/>
      <c r="Q564" s="1"/>
    </row>
    <row r="565" spans="2:17">
      <c r="B565" s="1"/>
      <c r="C565" s="2"/>
      <c r="D565" s="3"/>
      <c r="E565" s="1"/>
      <c r="F565" s="1"/>
      <c r="G565" s="1"/>
      <c r="H565" s="1"/>
      <c r="I565" s="4"/>
      <c r="J565" s="4"/>
      <c r="K565" s="4"/>
      <c r="L565" s="4"/>
      <c r="M565" s="4"/>
      <c r="N565" s="4"/>
      <c r="O565" s="4"/>
      <c r="P565" s="5"/>
      <c r="Q565" s="1"/>
    </row>
    <row r="566" spans="2:17">
      <c r="B566" s="1"/>
      <c r="C566" s="2"/>
      <c r="D566" s="3"/>
      <c r="E566" s="1"/>
      <c r="F566" s="1"/>
      <c r="G566" s="1"/>
      <c r="H566" s="1"/>
      <c r="I566" s="4"/>
      <c r="J566" s="4"/>
      <c r="K566" s="4"/>
      <c r="L566" s="4"/>
      <c r="M566" s="4"/>
      <c r="N566" s="4"/>
      <c r="O566" s="4"/>
      <c r="P566" s="5"/>
      <c r="Q566" s="1"/>
    </row>
    <row r="567" spans="2:17">
      <c r="B567" s="1"/>
      <c r="C567" s="2"/>
      <c r="D567" s="3"/>
      <c r="E567" s="1"/>
      <c r="F567" s="1"/>
      <c r="G567" s="1"/>
      <c r="H567" s="1"/>
      <c r="I567" s="4"/>
      <c r="J567" s="4"/>
      <c r="K567" s="4"/>
      <c r="L567" s="4"/>
      <c r="M567" s="4"/>
      <c r="N567" s="4"/>
      <c r="O567" s="4"/>
      <c r="P567" s="5"/>
      <c r="Q567" s="1"/>
    </row>
    <row r="568" spans="2:17">
      <c r="B568" s="1"/>
      <c r="C568" s="2"/>
      <c r="D568" s="3"/>
      <c r="E568" s="1"/>
      <c r="F568" s="1"/>
      <c r="G568" s="1"/>
      <c r="H568" s="1"/>
      <c r="I568" s="4"/>
      <c r="J568" s="4"/>
      <c r="K568" s="4"/>
      <c r="L568" s="4"/>
      <c r="M568" s="4"/>
      <c r="N568" s="4"/>
      <c r="O568" s="4"/>
      <c r="P568" s="5"/>
      <c r="Q568" s="1"/>
    </row>
    <row r="569" spans="2:17">
      <c r="B569" s="1"/>
      <c r="C569" s="2"/>
      <c r="D569" s="3"/>
      <c r="E569" s="1"/>
      <c r="F569" s="1"/>
      <c r="G569" s="1"/>
      <c r="H569" s="1"/>
      <c r="I569" s="4"/>
      <c r="J569" s="4"/>
      <c r="K569" s="4"/>
      <c r="L569" s="4"/>
      <c r="M569" s="4"/>
      <c r="N569" s="4"/>
      <c r="O569" s="4"/>
      <c r="P569" s="5"/>
      <c r="Q569" s="1"/>
    </row>
    <row r="570" spans="2:17">
      <c r="B570" s="1"/>
      <c r="C570" s="2"/>
      <c r="D570" s="3"/>
      <c r="E570" s="1"/>
      <c r="F570" s="1"/>
      <c r="G570" s="1"/>
      <c r="H570" s="1"/>
      <c r="I570" s="4"/>
      <c r="J570" s="4"/>
      <c r="K570" s="4"/>
      <c r="L570" s="4"/>
      <c r="M570" s="4"/>
      <c r="N570" s="4"/>
      <c r="O570" s="4"/>
      <c r="P570" s="5"/>
      <c r="Q570" s="1"/>
    </row>
    <row r="571" spans="2:17">
      <c r="B571" s="1"/>
      <c r="C571" s="2"/>
      <c r="D571" s="3"/>
      <c r="E571" s="1"/>
      <c r="F571" s="1"/>
      <c r="G571" s="1"/>
      <c r="H571" s="1"/>
      <c r="I571" s="4"/>
      <c r="J571" s="4"/>
      <c r="K571" s="4"/>
      <c r="L571" s="4"/>
      <c r="M571" s="4"/>
      <c r="N571" s="4"/>
      <c r="O571" s="4"/>
      <c r="P571" s="5"/>
      <c r="Q571" s="1"/>
    </row>
    <row r="572" spans="2:17">
      <c r="B572" s="1"/>
      <c r="C572" s="2"/>
      <c r="D572" s="3"/>
      <c r="E572" s="1"/>
      <c r="F572" s="1"/>
      <c r="G572" s="1"/>
      <c r="H572" s="1"/>
      <c r="I572" s="4"/>
      <c r="J572" s="4"/>
      <c r="K572" s="4"/>
      <c r="L572" s="4"/>
      <c r="M572" s="4"/>
      <c r="N572" s="4"/>
      <c r="O572" s="4"/>
      <c r="P572" s="5"/>
      <c r="Q572" s="1"/>
    </row>
    <row r="573" spans="2:17">
      <c r="B573" s="1"/>
      <c r="C573" s="2"/>
      <c r="D573" s="3"/>
      <c r="E573" s="1"/>
      <c r="F573" s="1"/>
      <c r="G573" s="1"/>
      <c r="H573" s="1"/>
      <c r="I573" s="4"/>
      <c r="J573" s="4"/>
      <c r="K573" s="4"/>
      <c r="L573" s="4"/>
      <c r="M573" s="4"/>
      <c r="N573" s="4"/>
      <c r="O573" s="4"/>
      <c r="P573" s="5"/>
      <c r="Q573" s="1"/>
    </row>
    <row r="574" spans="2:17">
      <c r="B574" s="1"/>
      <c r="C574" s="2"/>
      <c r="D574" s="3"/>
      <c r="E574" s="1"/>
      <c r="F574" s="1"/>
      <c r="G574" s="1"/>
      <c r="H574" s="1"/>
      <c r="I574" s="4"/>
      <c r="J574" s="4"/>
      <c r="K574" s="4"/>
      <c r="L574" s="4"/>
      <c r="M574" s="4"/>
      <c r="N574" s="4"/>
      <c r="O574" s="4"/>
      <c r="P574" s="5"/>
      <c r="Q574" s="1"/>
    </row>
    <row r="575" spans="2:17">
      <c r="B575" s="1"/>
      <c r="C575" s="2"/>
      <c r="D575" s="3"/>
      <c r="E575" s="1"/>
      <c r="F575" s="1"/>
      <c r="G575" s="1"/>
      <c r="H575" s="1"/>
      <c r="I575" s="4"/>
      <c r="J575" s="4"/>
      <c r="K575" s="4"/>
      <c r="L575" s="4"/>
      <c r="M575" s="4"/>
      <c r="N575" s="4"/>
      <c r="O575" s="4"/>
      <c r="P575" s="5"/>
      <c r="Q575" s="1"/>
    </row>
    <row r="576" spans="2:17">
      <c r="B576" s="1"/>
      <c r="C576" s="2"/>
      <c r="D576" s="3"/>
      <c r="E576" s="1"/>
      <c r="F576" s="1"/>
      <c r="G576" s="1"/>
      <c r="H576" s="1"/>
      <c r="I576" s="4"/>
      <c r="J576" s="4"/>
      <c r="K576" s="4"/>
      <c r="L576" s="4"/>
      <c r="M576" s="4"/>
      <c r="N576" s="4"/>
      <c r="O576" s="4"/>
      <c r="P576" s="5"/>
      <c r="Q576" s="1"/>
    </row>
    <row r="577" spans="2:17">
      <c r="B577" s="1"/>
      <c r="C577" s="2"/>
      <c r="D577" s="3"/>
      <c r="E577" s="1"/>
      <c r="F577" s="1"/>
      <c r="G577" s="1"/>
      <c r="H577" s="1"/>
      <c r="I577" s="4"/>
      <c r="J577" s="4"/>
      <c r="K577" s="4"/>
      <c r="L577" s="4"/>
      <c r="M577" s="4"/>
      <c r="N577" s="4"/>
      <c r="O577" s="4"/>
      <c r="P577" s="5"/>
      <c r="Q577" s="1"/>
    </row>
    <row r="578" spans="2:17">
      <c r="B578" s="1"/>
      <c r="C578" s="2"/>
      <c r="D578" s="3"/>
      <c r="E578" s="1"/>
      <c r="F578" s="1"/>
      <c r="G578" s="1"/>
      <c r="H578" s="1"/>
      <c r="I578" s="4"/>
      <c r="J578" s="4"/>
      <c r="K578" s="4"/>
      <c r="L578" s="4"/>
      <c r="M578" s="4"/>
      <c r="N578" s="4"/>
      <c r="O578" s="4"/>
      <c r="P578" s="5"/>
      <c r="Q578" s="1"/>
    </row>
    <row r="579" spans="2:17">
      <c r="B579" s="1"/>
      <c r="C579" s="2"/>
      <c r="D579" s="3"/>
      <c r="E579" s="1"/>
      <c r="F579" s="1"/>
      <c r="G579" s="1"/>
      <c r="H579" s="1"/>
      <c r="I579" s="4"/>
      <c r="J579" s="4"/>
      <c r="K579" s="4"/>
      <c r="L579" s="4"/>
      <c r="M579" s="4"/>
      <c r="N579" s="4"/>
      <c r="O579" s="4"/>
      <c r="P579" s="5"/>
      <c r="Q579" s="1"/>
    </row>
    <row r="580" spans="2:17">
      <c r="B580" s="1"/>
      <c r="C580" s="2"/>
      <c r="D580" s="3"/>
      <c r="E580" s="1"/>
      <c r="F580" s="1"/>
      <c r="G580" s="1"/>
      <c r="H580" s="1"/>
      <c r="I580" s="4"/>
      <c r="J580" s="4"/>
      <c r="K580" s="4"/>
      <c r="L580" s="4"/>
      <c r="M580" s="4"/>
      <c r="N580" s="4"/>
      <c r="O580" s="4"/>
      <c r="P580" s="5"/>
      <c r="Q580" s="1"/>
    </row>
    <row r="581" spans="2:17">
      <c r="B581" s="1"/>
      <c r="C581" s="2"/>
      <c r="D581" s="3"/>
      <c r="E581" s="1"/>
      <c r="F581" s="1"/>
      <c r="G581" s="1"/>
      <c r="H581" s="1"/>
      <c r="I581" s="4"/>
      <c r="J581" s="4"/>
      <c r="K581" s="4"/>
      <c r="L581" s="4"/>
      <c r="M581" s="4"/>
      <c r="N581" s="4"/>
      <c r="O581" s="4"/>
      <c r="P581" s="5"/>
      <c r="Q581" s="1"/>
    </row>
    <row r="582" spans="2:17">
      <c r="B582" s="1"/>
      <c r="C582" s="2"/>
      <c r="D582" s="3"/>
      <c r="E582" s="1"/>
      <c r="F582" s="1"/>
      <c r="G582" s="1"/>
      <c r="H582" s="1"/>
      <c r="I582" s="4"/>
      <c r="J582" s="4"/>
      <c r="K582" s="4"/>
      <c r="L582" s="4"/>
      <c r="M582" s="4"/>
      <c r="N582" s="4"/>
      <c r="O582" s="4"/>
      <c r="P582" s="5"/>
      <c r="Q582" s="1"/>
    </row>
    <row r="583" spans="2:17">
      <c r="B583" s="1"/>
      <c r="C583" s="2"/>
      <c r="D583" s="3"/>
      <c r="E583" s="1"/>
      <c r="F583" s="1"/>
      <c r="G583" s="1"/>
      <c r="H583" s="1"/>
      <c r="I583" s="4"/>
      <c r="J583" s="4"/>
      <c r="K583" s="4"/>
      <c r="L583" s="4"/>
      <c r="M583" s="4"/>
      <c r="N583" s="4"/>
      <c r="O583" s="4"/>
      <c r="P583" s="5"/>
      <c r="Q583" s="1"/>
    </row>
    <row r="584" spans="2:17">
      <c r="B584" s="1"/>
      <c r="C584" s="2"/>
      <c r="D584" s="3"/>
      <c r="E584" s="1"/>
      <c r="F584" s="1"/>
      <c r="G584" s="1"/>
      <c r="H584" s="1"/>
      <c r="I584" s="4"/>
      <c r="J584" s="4"/>
      <c r="K584" s="4"/>
      <c r="L584" s="4"/>
      <c r="M584" s="4"/>
      <c r="N584" s="4"/>
      <c r="O584" s="4"/>
      <c r="P584" s="5"/>
      <c r="Q584" s="1"/>
    </row>
    <row r="585" spans="2:17">
      <c r="B585" s="1"/>
      <c r="C585" s="2"/>
      <c r="D585" s="3"/>
      <c r="E585" s="1"/>
      <c r="F585" s="1"/>
      <c r="G585" s="1"/>
      <c r="H585" s="1"/>
      <c r="I585" s="4"/>
      <c r="J585" s="4"/>
      <c r="K585" s="4"/>
      <c r="L585" s="4"/>
      <c r="M585" s="4"/>
      <c r="N585" s="4"/>
      <c r="O585" s="4"/>
      <c r="P585" s="5"/>
      <c r="Q585" s="1"/>
    </row>
    <row r="586" spans="2:17">
      <c r="B586" s="1"/>
      <c r="C586" s="2"/>
      <c r="D586" s="3"/>
      <c r="E586" s="1"/>
      <c r="F586" s="1"/>
      <c r="G586" s="1"/>
      <c r="H586" s="1"/>
      <c r="I586" s="4"/>
      <c r="J586" s="4"/>
      <c r="K586" s="4"/>
      <c r="L586" s="4"/>
      <c r="M586" s="4"/>
      <c r="N586" s="4"/>
      <c r="O586" s="4"/>
      <c r="P586" s="5"/>
      <c r="Q586" s="1"/>
    </row>
    <row r="587" spans="2:17">
      <c r="B587" s="1"/>
      <c r="C587" s="2"/>
      <c r="D587" s="3"/>
      <c r="E587" s="1"/>
      <c r="F587" s="1"/>
      <c r="G587" s="1"/>
      <c r="H587" s="1"/>
      <c r="I587" s="4"/>
      <c r="J587" s="4"/>
      <c r="K587" s="4"/>
      <c r="L587" s="4"/>
      <c r="M587" s="4"/>
      <c r="N587" s="4"/>
      <c r="O587" s="4"/>
      <c r="P587" s="5"/>
      <c r="Q587" s="1"/>
    </row>
    <row r="588" spans="2:17">
      <c r="B588" s="1"/>
      <c r="C588" s="2"/>
      <c r="D588" s="3"/>
      <c r="E588" s="1"/>
      <c r="F588" s="1"/>
      <c r="G588" s="1"/>
      <c r="H588" s="1"/>
      <c r="I588" s="4"/>
      <c r="J588" s="4"/>
      <c r="K588" s="4"/>
      <c r="L588" s="4"/>
      <c r="M588" s="4"/>
      <c r="N588" s="4"/>
      <c r="O588" s="4"/>
      <c r="P588" s="5"/>
      <c r="Q588" s="1"/>
    </row>
    <row r="589" spans="2:17">
      <c r="B589" s="1"/>
      <c r="C589" s="2"/>
      <c r="D589" s="3"/>
      <c r="E589" s="1"/>
      <c r="F589" s="1"/>
      <c r="G589" s="1"/>
      <c r="H589" s="1"/>
      <c r="I589" s="4"/>
      <c r="J589" s="4"/>
      <c r="K589" s="4"/>
      <c r="L589" s="4"/>
      <c r="M589" s="4"/>
      <c r="N589" s="4"/>
      <c r="O589" s="4"/>
      <c r="P589" s="5"/>
      <c r="Q589" s="1"/>
    </row>
    <row r="590" spans="2:17">
      <c r="B590" s="1"/>
      <c r="C590" s="2"/>
      <c r="D590" s="3"/>
      <c r="E590" s="1"/>
      <c r="F590" s="1"/>
      <c r="G590" s="1"/>
      <c r="H590" s="1"/>
      <c r="I590" s="4"/>
      <c r="J590" s="4"/>
      <c r="K590" s="4"/>
      <c r="L590" s="4"/>
      <c r="M590" s="4"/>
      <c r="N590" s="4"/>
      <c r="O590" s="4"/>
      <c r="P590" s="5"/>
      <c r="Q590" s="1"/>
    </row>
    <row r="591" spans="2:17">
      <c r="B591" s="1"/>
      <c r="C591" s="2"/>
      <c r="D591" s="3"/>
      <c r="E591" s="1"/>
      <c r="F591" s="1"/>
      <c r="G591" s="1"/>
      <c r="H591" s="1"/>
      <c r="I591" s="4"/>
      <c r="J591" s="4"/>
      <c r="K591" s="4"/>
      <c r="L591" s="4"/>
      <c r="M591" s="4"/>
      <c r="N591" s="4"/>
      <c r="O591" s="4"/>
      <c r="P591" s="5"/>
      <c r="Q591" s="1"/>
    </row>
    <row r="592" spans="2:17">
      <c r="B592" s="1"/>
      <c r="C592" s="2"/>
      <c r="D592" s="3"/>
      <c r="E592" s="1"/>
      <c r="F592" s="1"/>
      <c r="G592" s="1"/>
      <c r="H592" s="1"/>
      <c r="I592" s="4"/>
      <c r="J592" s="4"/>
      <c r="K592" s="4"/>
      <c r="L592" s="4"/>
      <c r="M592" s="4"/>
      <c r="N592" s="4"/>
      <c r="O592" s="4"/>
      <c r="P592" s="5"/>
      <c r="Q592" s="1"/>
    </row>
    <row r="593" spans="2:17">
      <c r="B593" s="1"/>
      <c r="C593" s="2"/>
      <c r="D593" s="3"/>
      <c r="E593" s="1"/>
      <c r="F593" s="1"/>
      <c r="G593" s="1"/>
      <c r="H593" s="1"/>
      <c r="I593" s="4"/>
      <c r="J593" s="4"/>
      <c r="K593" s="4"/>
      <c r="L593" s="4"/>
      <c r="M593" s="4"/>
      <c r="N593" s="4"/>
      <c r="O593" s="4"/>
      <c r="P593" s="5"/>
      <c r="Q593" s="1"/>
    </row>
    <row r="594" spans="2:17">
      <c r="B594" s="1"/>
      <c r="C594" s="2"/>
      <c r="D594" s="3"/>
      <c r="E594" s="1"/>
      <c r="F594" s="1"/>
      <c r="G594" s="1"/>
      <c r="H594" s="1"/>
      <c r="I594" s="4"/>
      <c r="J594" s="4"/>
      <c r="K594" s="4"/>
      <c r="L594" s="4"/>
      <c r="M594" s="4"/>
      <c r="N594" s="4"/>
      <c r="O594" s="4"/>
      <c r="P594" s="5"/>
      <c r="Q594" s="1"/>
    </row>
    <row r="595" spans="2:17">
      <c r="B595" s="1"/>
      <c r="C595" s="2"/>
      <c r="D595" s="3"/>
      <c r="E595" s="1"/>
      <c r="F595" s="1"/>
      <c r="G595" s="1"/>
      <c r="H595" s="1"/>
      <c r="I595" s="4"/>
      <c r="J595" s="4"/>
      <c r="K595" s="4"/>
      <c r="L595" s="4"/>
      <c r="M595" s="4"/>
      <c r="N595" s="4"/>
      <c r="O595" s="4"/>
      <c r="P595" s="5"/>
      <c r="Q595" s="1"/>
    </row>
    <row r="596" spans="2:17">
      <c r="B596" s="1"/>
      <c r="C596" s="2"/>
      <c r="D596" s="3"/>
      <c r="E596" s="1"/>
      <c r="F596" s="1"/>
      <c r="G596" s="1"/>
      <c r="H596" s="1"/>
      <c r="I596" s="4"/>
      <c r="J596" s="4"/>
      <c r="K596" s="4"/>
      <c r="L596" s="4"/>
      <c r="M596" s="4"/>
      <c r="N596" s="4"/>
      <c r="O596" s="4"/>
      <c r="P596" s="5"/>
      <c r="Q596" s="1"/>
    </row>
    <row r="597" spans="2:17">
      <c r="B597" s="1"/>
      <c r="C597" s="2"/>
      <c r="D597" s="3"/>
      <c r="E597" s="1"/>
      <c r="F597" s="1"/>
      <c r="G597" s="1"/>
      <c r="H597" s="1"/>
      <c r="I597" s="4"/>
      <c r="J597" s="4"/>
      <c r="K597" s="4"/>
      <c r="L597" s="4"/>
      <c r="M597" s="4"/>
      <c r="N597" s="4"/>
      <c r="O597" s="4"/>
      <c r="P597" s="5"/>
      <c r="Q597" s="1"/>
    </row>
    <row r="598" spans="2:17">
      <c r="B598" s="1"/>
      <c r="C598" s="2"/>
      <c r="D598" s="3"/>
      <c r="E598" s="1"/>
      <c r="F598" s="1"/>
      <c r="G598" s="1"/>
      <c r="H598" s="1"/>
      <c r="I598" s="4"/>
      <c r="J598" s="4"/>
      <c r="K598" s="4"/>
      <c r="L598" s="4"/>
      <c r="M598" s="4"/>
      <c r="N598" s="4"/>
      <c r="O598" s="4"/>
      <c r="P598" s="5"/>
      <c r="Q598" s="1"/>
    </row>
    <row r="599" spans="2:17">
      <c r="B599" s="1"/>
      <c r="C599" s="2"/>
      <c r="D599" s="3"/>
      <c r="E599" s="1"/>
      <c r="F599" s="1"/>
      <c r="G599" s="1"/>
      <c r="H599" s="1"/>
      <c r="I599" s="4"/>
      <c r="J599" s="4"/>
      <c r="K599" s="4"/>
      <c r="L599" s="4"/>
      <c r="M599" s="4"/>
      <c r="N599" s="4"/>
      <c r="O599" s="4"/>
      <c r="P599" s="5"/>
      <c r="Q599" s="1"/>
    </row>
    <row r="600" spans="2:17">
      <c r="B600" s="1"/>
      <c r="C600" s="2"/>
      <c r="D600" s="3"/>
      <c r="E600" s="1"/>
      <c r="F600" s="1"/>
      <c r="G600" s="1"/>
      <c r="H600" s="1"/>
      <c r="I600" s="4"/>
      <c r="J600" s="4"/>
      <c r="K600" s="4"/>
      <c r="L600" s="4"/>
      <c r="M600" s="4"/>
      <c r="N600" s="4"/>
      <c r="O600" s="4"/>
      <c r="P600" s="5"/>
      <c r="Q600" s="1"/>
    </row>
    <row r="601" spans="2:17">
      <c r="B601" s="1"/>
      <c r="C601" s="2"/>
      <c r="D601" s="3"/>
      <c r="E601" s="1"/>
      <c r="F601" s="1"/>
      <c r="G601" s="1"/>
      <c r="H601" s="1"/>
      <c r="I601" s="4"/>
      <c r="J601" s="4"/>
      <c r="K601" s="4"/>
      <c r="L601" s="4"/>
      <c r="M601" s="4"/>
      <c r="N601" s="4"/>
      <c r="O601" s="4"/>
      <c r="P601" s="5"/>
      <c r="Q601" s="1"/>
    </row>
    <row r="602" spans="2:17">
      <c r="B602" s="1"/>
      <c r="C602" s="2"/>
      <c r="D602" s="3"/>
      <c r="E602" s="1"/>
      <c r="F602" s="1"/>
      <c r="G602" s="1"/>
      <c r="H602" s="1"/>
      <c r="I602" s="4"/>
      <c r="J602" s="4"/>
      <c r="K602" s="4"/>
      <c r="L602" s="4"/>
      <c r="M602" s="4"/>
      <c r="N602" s="4"/>
      <c r="O602" s="4"/>
      <c r="P602" s="5"/>
      <c r="Q602" s="1"/>
    </row>
    <row r="603" spans="2:17">
      <c r="B603" s="1"/>
      <c r="C603" s="2"/>
      <c r="D603" s="3"/>
      <c r="E603" s="1"/>
      <c r="F603" s="1"/>
      <c r="G603" s="1"/>
      <c r="H603" s="1"/>
      <c r="I603" s="4"/>
      <c r="J603" s="4"/>
      <c r="K603" s="4"/>
      <c r="L603" s="4"/>
      <c r="M603" s="4"/>
      <c r="N603" s="4"/>
      <c r="O603" s="4"/>
      <c r="P603" s="5"/>
      <c r="Q603" s="1"/>
    </row>
    <row r="604" spans="2:17">
      <c r="B604" s="1"/>
      <c r="C604" s="2"/>
      <c r="D604" s="3"/>
      <c r="E604" s="1"/>
      <c r="F604" s="1"/>
      <c r="G604" s="1"/>
      <c r="H604" s="1"/>
      <c r="I604" s="4"/>
      <c r="J604" s="4"/>
      <c r="K604" s="4"/>
      <c r="L604" s="4"/>
      <c r="M604" s="4"/>
      <c r="N604" s="4"/>
      <c r="O604" s="4"/>
      <c r="P604" s="5"/>
      <c r="Q604" s="1"/>
    </row>
    <row r="605" spans="2:17">
      <c r="B605" s="1"/>
      <c r="C605" s="2"/>
      <c r="D605" s="3"/>
      <c r="E605" s="1"/>
      <c r="F605" s="1"/>
      <c r="G605" s="1"/>
      <c r="H605" s="1"/>
      <c r="I605" s="4"/>
      <c r="J605" s="4"/>
      <c r="K605" s="4"/>
      <c r="L605" s="4"/>
      <c r="M605" s="4"/>
      <c r="N605" s="4"/>
      <c r="O605" s="4"/>
      <c r="P605" s="5"/>
      <c r="Q605" s="1"/>
    </row>
    <row r="606" spans="2:17">
      <c r="B606" s="1"/>
      <c r="C606" s="2"/>
      <c r="D606" s="3"/>
      <c r="E606" s="1"/>
      <c r="F606" s="1"/>
      <c r="G606" s="1"/>
      <c r="H606" s="1"/>
      <c r="I606" s="4"/>
      <c r="J606" s="4"/>
      <c r="K606" s="4"/>
      <c r="L606" s="4"/>
      <c r="M606" s="4"/>
      <c r="N606" s="4"/>
      <c r="O606" s="4"/>
      <c r="P606" s="5"/>
      <c r="Q606" s="1"/>
    </row>
    <row r="607" spans="2:17">
      <c r="B607" s="1"/>
      <c r="C607" s="2"/>
      <c r="D607" s="3"/>
      <c r="E607" s="1"/>
      <c r="F607" s="1"/>
      <c r="G607" s="1"/>
      <c r="H607" s="1"/>
      <c r="I607" s="4"/>
      <c r="J607" s="4"/>
      <c r="K607" s="4"/>
      <c r="L607" s="4"/>
      <c r="M607" s="4"/>
      <c r="N607" s="4"/>
      <c r="O607" s="4"/>
      <c r="P607" s="5"/>
      <c r="Q607" s="1"/>
    </row>
    <row r="608" spans="2:17">
      <c r="B608" s="1"/>
      <c r="C608" s="2"/>
      <c r="D608" s="3"/>
      <c r="E608" s="1"/>
      <c r="F608" s="1"/>
      <c r="G608" s="1"/>
      <c r="H608" s="1"/>
      <c r="I608" s="4"/>
      <c r="J608" s="4"/>
      <c r="K608" s="4"/>
      <c r="L608" s="4"/>
      <c r="M608" s="4"/>
      <c r="N608" s="4"/>
      <c r="O608" s="4"/>
      <c r="P608" s="5"/>
      <c r="Q608" s="1"/>
    </row>
    <row r="609" spans="2:17">
      <c r="B609" s="1"/>
      <c r="C609" s="2"/>
      <c r="D609" s="3"/>
      <c r="E609" s="1"/>
      <c r="F609" s="1"/>
      <c r="G609" s="1"/>
      <c r="H609" s="1"/>
      <c r="I609" s="4"/>
      <c r="J609" s="4"/>
      <c r="K609" s="4"/>
      <c r="L609" s="4"/>
      <c r="M609" s="4"/>
      <c r="N609" s="4"/>
      <c r="O609" s="4"/>
      <c r="P609" s="5"/>
      <c r="Q609" s="1"/>
    </row>
    <row r="610" spans="2:17">
      <c r="B610" s="1"/>
      <c r="C610" s="2"/>
      <c r="D610" s="3"/>
      <c r="E610" s="1"/>
      <c r="F610" s="1"/>
      <c r="G610" s="1"/>
      <c r="H610" s="1"/>
      <c r="I610" s="4"/>
      <c r="J610" s="4"/>
      <c r="K610" s="4"/>
      <c r="L610" s="4"/>
      <c r="M610" s="4"/>
      <c r="N610" s="4"/>
      <c r="O610" s="4"/>
      <c r="P610" s="5"/>
      <c r="Q610" s="1"/>
    </row>
    <row r="611" spans="2:17">
      <c r="B611" s="1"/>
      <c r="C611" s="2"/>
      <c r="D611" s="3"/>
      <c r="E611" s="1"/>
      <c r="F611" s="1"/>
      <c r="G611" s="1"/>
      <c r="H611" s="1"/>
      <c r="I611" s="4"/>
      <c r="J611" s="4"/>
      <c r="K611" s="4"/>
      <c r="L611" s="4"/>
      <c r="M611" s="4"/>
      <c r="N611" s="4"/>
      <c r="O611" s="4"/>
      <c r="P611" s="5"/>
      <c r="Q611" s="1"/>
    </row>
    <row r="612" spans="2:17">
      <c r="B612" s="1"/>
      <c r="C612" s="2"/>
      <c r="D612" s="3"/>
      <c r="E612" s="1"/>
      <c r="F612" s="1"/>
      <c r="G612" s="1"/>
      <c r="H612" s="1"/>
      <c r="I612" s="4"/>
      <c r="J612" s="4"/>
      <c r="K612" s="4"/>
      <c r="L612" s="4"/>
      <c r="M612" s="4"/>
      <c r="N612" s="4"/>
      <c r="O612" s="4"/>
      <c r="P612" s="5"/>
      <c r="Q612" s="1"/>
    </row>
    <row r="613" spans="2:17">
      <c r="B613" s="1"/>
      <c r="C613" s="2"/>
      <c r="D613" s="3"/>
      <c r="E613" s="1"/>
      <c r="F613" s="1"/>
      <c r="G613" s="1"/>
      <c r="H613" s="1"/>
      <c r="I613" s="4"/>
      <c r="J613" s="4"/>
      <c r="K613" s="4"/>
      <c r="L613" s="4"/>
      <c r="M613" s="4"/>
      <c r="N613" s="4"/>
      <c r="O613" s="4"/>
      <c r="P613" s="5"/>
      <c r="Q613" s="1"/>
    </row>
    <row r="614" spans="2:17">
      <c r="B614" s="1"/>
      <c r="C614" s="2"/>
      <c r="D614" s="3"/>
      <c r="E614" s="1"/>
      <c r="F614" s="1"/>
      <c r="G614" s="1"/>
      <c r="H614" s="1"/>
      <c r="I614" s="4"/>
      <c r="J614" s="4"/>
      <c r="K614" s="4"/>
      <c r="L614" s="4"/>
      <c r="M614" s="4"/>
      <c r="N614" s="4"/>
      <c r="O614" s="4"/>
      <c r="P614" s="5"/>
      <c r="Q614" s="1"/>
    </row>
    <row r="615" spans="2:17">
      <c r="B615" s="1"/>
      <c r="C615" s="2"/>
      <c r="D615" s="3"/>
      <c r="E615" s="1"/>
      <c r="F615" s="1"/>
      <c r="G615" s="1"/>
      <c r="H615" s="1"/>
      <c r="I615" s="4"/>
      <c r="J615" s="4"/>
      <c r="K615" s="4"/>
      <c r="L615" s="4"/>
      <c r="M615" s="4"/>
      <c r="N615" s="4"/>
      <c r="O615" s="4"/>
      <c r="P615" s="5"/>
      <c r="Q615" s="1"/>
    </row>
    <row r="616" spans="2:17">
      <c r="B616" s="1"/>
      <c r="C616" s="2"/>
      <c r="D616" s="3"/>
      <c r="E616" s="1"/>
      <c r="F616" s="1"/>
      <c r="G616" s="1"/>
      <c r="H616" s="1"/>
      <c r="I616" s="4"/>
      <c r="J616" s="4"/>
      <c r="K616" s="4"/>
      <c r="L616" s="4"/>
      <c r="M616" s="4"/>
      <c r="N616" s="4"/>
      <c r="O616" s="4"/>
      <c r="P616" s="5"/>
      <c r="Q616" s="1"/>
    </row>
    <row r="617" spans="2:17">
      <c r="B617" s="1"/>
      <c r="C617" s="2"/>
      <c r="D617" s="3"/>
      <c r="E617" s="1"/>
      <c r="F617" s="1"/>
      <c r="G617" s="1"/>
      <c r="H617" s="1"/>
      <c r="I617" s="4"/>
      <c r="J617" s="4"/>
      <c r="K617" s="4"/>
      <c r="L617" s="4"/>
      <c r="M617" s="4"/>
      <c r="N617" s="4"/>
      <c r="O617" s="4"/>
      <c r="P617" s="5"/>
      <c r="Q617" s="1"/>
    </row>
    <row r="618" spans="2:17">
      <c r="B618" s="1"/>
      <c r="C618" s="2"/>
      <c r="D618" s="3"/>
      <c r="E618" s="1"/>
      <c r="F618" s="1"/>
      <c r="G618" s="1"/>
      <c r="H618" s="1"/>
      <c r="I618" s="4"/>
      <c r="J618" s="4"/>
      <c r="K618" s="4"/>
      <c r="L618" s="4"/>
      <c r="M618" s="4"/>
      <c r="N618" s="4"/>
      <c r="O618" s="4"/>
      <c r="P618" s="5"/>
      <c r="Q618" s="1"/>
    </row>
    <row r="619" spans="2:17">
      <c r="B619" s="1"/>
      <c r="C619" s="2"/>
      <c r="D619" s="3"/>
      <c r="E619" s="1"/>
      <c r="F619" s="1"/>
      <c r="G619" s="1"/>
      <c r="H619" s="1"/>
      <c r="I619" s="4"/>
      <c r="J619" s="4"/>
      <c r="K619" s="4"/>
      <c r="L619" s="4"/>
      <c r="M619" s="4"/>
      <c r="N619" s="4"/>
      <c r="O619" s="4"/>
      <c r="P619" s="5"/>
      <c r="Q619" s="1"/>
    </row>
    <row r="620" spans="2:17">
      <c r="B620" s="1"/>
      <c r="C620" s="2"/>
      <c r="D620" s="3"/>
      <c r="E620" s="1"/>
      <c r="F620" s="1"/>
      <c r="G620" s="1"/>
      <c r="H620" s="1"/>
      <c r="I620" s="4"/>
      <c r="J620" s="4"/>
      <c r="K620" s="4"/>
      <c r="L620" s="4"/>
      <c r="M620" s="4"/>
      <c r="N620" s="4"/>
      <c r="O620" s="4"/>
      <c r="P620" s="5"/>
      <c r="Q620" s="1"/>
    </row>
    <row r="621" spans="2:17">
      <c r="B621" s="1"/>
      <c r="C621" s="2"/>
      <c r="D621" s="3"/>
      <c r="E621" s="1"/>
      <c r="F621" s="1"/>
      <c r="G621" s="1"/>
      <c r="H621" s="1"/>
      <c r="I621" s="4"/>
      <c r="J621" s="4"/>
      <c r="K621" s="4"/>
      <c r="L621" s="4"/>
      <c r="M621" s="4"/>
      <c r="N621" s="4"/>
      <c r="O621" s="4"/>
      <c r="P621" s="5"/>
      <c r="Q621" s="1"/>
    </row>
    <row r="622" spans="2:17">
      <c r="B622" s="1"/>
      <c r="C622" s="2"/>
      <c r="D622" s="3"/>
      <c r="E622" s="1"/>
      <c r="F622" s="1"/>
      <c r="G622" s="1"/>
      <c r="H622" s="1"/>
      <c r="I622" s="4"/>
      <c r="J622" s="4"/>
      <c r="K622" s="4"/>
      <c r="L622" s="4"/>
      <c r="M622" s="4"/>
      <c r="N622" s="4"/>
      <c r="O622" s="4"/>
      <c r="P622" s="5"/>
      <c r="Q622" s="1"/>
    </row>
    <row r="623" spans="2:17">
      <c r="B623" s="1"/>
      <c r="C623" s="2"/>
      <c r="D623" s="3"/>
      <c r="E623" s="1"/>
      <c r="F623" s="1"/>
      <c r="G623" s="1"/>
      <c r="H623" s="1"/>
      <c r="I623" s="4"/>
      <c r="J623" s="4"/>
      <c r="K623" s="4"/>
      <c r="L623" s="4"/>
      <c r="M623" s="4"/>
      <c r="N623" s="4"/>
      <c r="O623" s="4"/>
      <c r="P623" s="5"/>
      <c r="Q623" s="1"/>
    </row>
    <row r="624" spans="2:17">
      <c r="B624" s="1"/>
      <c r="C624" s="2"/>
      <c r="D624" s="3"/>
      <c r="E624" s="1"/>
      <c r="F624" s="1"/>
      <c r="G624" s="1"/>
      <c r="H624" s="1"/>
      <c r="I624" s="4"/>
      <c r="J624" s="4"/>
      <c r="K624" s="4"/>
      <c r="L624" s="4"/>
      <c r="M624" s="4"/>
      <c r="N624" s="4"/>
      <c r="O624" s="4"/>
      <c r="P624" s="5"/>
      <c r="Q624" s="1"/>
    </row>
    <row r="625" spans="2:17">
      <c r="B625" s="1"/>
      <c r="C625" s="2"/>
      <c r="D625" s="3"/>
      <c r="E625" s="1"/>
      <c r="F625" s="1"/>
      <c r="G625" s="1"/>
      <c r="H625" s="1"/>
      <c r="I625" s="4"/>
      <c r="J625" s="4"/>
      <c r="K625" s="4"/>
      <c r="L625" s="4"/>
      <c r="M625" s="4"/>
      <c r="N625" s="4"/>
      <c r="O625" s="4"/>
      <c r="P625" s="5"/>
      <c r="Q625" s="1"/>
    </row>
    <row r="626" spans="2:17">
      <c r="B626" s="1"/>
      <c r="C626" s="2"/>
      <c r="D626" s="3"/>
      <c r="E626" s="1"/>
      <c r="F626" s="1"/>
      <c r="G626" s="1"/>
      <c r="H626" s="1"/>
      <c r="I626" s="4"/>
      <c r="J626" s="4"/>
      <c r="K626" s="4"/>
      <c r="L626" s="4"/>
      <c r="M626" s="4"/>
      <c r="N626" s="4"/>
      <c r="O626" s="4"/>
      <c r="P626" s="5"/>
      <c r="Q626" s="1"/>
    </row>
    <row r="627" spans="2:17">
      <c r="B627" s="1"/>
      <c r="C627" s="2"/>
      <c r="D627" s="3"/>
      <c r="E627" s="1"/>
      <c r="F627" s="1"/>
      <c r="G627" s="1"/>
      <c r="H627" s="1"/>
      <c r="I627" s="4"/>
      <c r="J627" s="4"/>
      <c r="K627" s="4"/>
      <c r="L627" s="4"/>
      <c r="M627" s="4"/>
      <c r="N627" s="4"/>
      <c r="O627" s="4"/>
      <c r="P627" s="5"/>
      <c r="Q627" s="1"/>
    </row>
    <row r="628" spans="2:17">
      <c r="B628" s="1"/>
      <c r="C628" s="2"/>
      <c r="D628" s="3"/>
      <c r="E628" s="1"/>
      <c r="F628" s="1"/>
      <c r="G628" s="1"/>
      <c r="H628" s="1"/>
      <c r="I628" s="4"/>
      <c r="J628" s="4"/>
      <c r="K628" s="4"/>
      <c r="L628" s="4"/>
      <c r="M628" s="4"/>
      <c r="N628" s="4"/>
      <c r="O628" s="4"/>
      <c r="P628" s="5"/>
      <c r="Q628" s="1"/>
    </row>
    <row r="629" spans="2:17">
      <c r="B629" s="1"/>
      <c r="C629" s="2"/>
      <c r="D629" s="3"/>
      <c r="E629" s="1"/>
      <c r="F629" s="1"/>
      <c r="G629" s="1"/>
      <c r="H629" s="1"/>
      <c r="I629" s="4"/>
      <c r="J629" s="4"/>
      <c r="K629" s="4"/>
      <c r="L629" s="4"/>
      <c r="M629" s="4"/>
      <c r="N629" s="4"/>
      <c r="O629" s="4"/>
      <c r="P629" s="5"/>
      <c r="Q629" s="1"/>
    </row>
    <row r="630" spans="2:17">
      <c r="B630" s="1"/>
      <c r="C630" s="2"/>
      <c r="D630" s="3"/>
      <c r="E630" s="1"/>
      <c r="F630" s="1"/>
      <c r="G630" s="1"/>
      <c r="H630" s="1"/>
      <c r="I630" s="4"/>
      <c r="J630" s="4"/>
      <c r="K630" s="4"/>
      <c r="L630" s="4"/>
      <c r="M630" s="4"/>
      <c r="N630" s="4"/>
      <c r="O630" s="4"/>
      <c r="P630" s="5"/>
      <c r="Q630" s="1"/>
    </row>
    <row r="631" spans="2:17">
      <c r="B631" s="1"/>
      <c r="C631" s="2"/>
      <c r="D631" s="3"/>
      <c r="E631" s="1"/>
      <c r="F631" s="1"/>
      <c r="G631" s="1"/>
      <c r="H631" s="1"/>
      <c r="I631" s="4"/>
      <c r="J631" s="4"/>
      <c r="K631" s="4"/>
      <c r="L631" s="4"/>
      <c r="M631" s="4"/>
      <c r="N631" s="4"/>
      <c r="O631" s="4"/>
      <c r="P631" s="5"/>
      <c r="Q631" s="1"/>
    </row>
    <row r="632" spans="2:17">
      <c r="B632" s="1"/>
      <c r="C632" s="2"/>
      <c r="D632" s="3"/>
      <c r="E632" s="1"/>
      <c r="F632" s="1"/>
      <c r="G632" s="1"/>
      <c r="H632" s="1"/>
      <c r="I632" s="4"/>
      <c r="J632" s="4"/>
      <c r="K632" s="4"/>
      <c r="L632" s="4"/>
      <c r="M632" s="4"/>
      <c r="N632" s="4"/>
      <c r="O632" s="4"/>
      <c r="P632" s="5"/>
      <c r="Q632" s="1"/>
    </row>
    <row r="633" spans="2:17">
      <c r="B633" s="1"/>
      <c r="C633" s="2"/>
      <c r="D633" s="3"/>
      <c r="E633" s="1"/>
      <c r="F633" s="1"/>
      <c r="G633" s="1"/>
      <c r="H633" s="1"/>
      <c r="I633" s="4"/>
      <c r="J633" s="4"/>
      <c r="K633" s="4"/>
      <c r="L633" s="4"/>
      <c r="M633" s="4"/>
      <c r="N633" s="4"/>
      <c r="O633" s="4"/>
      <c r="P633" s="5"/>
      <c r="Q633" s="1"/>
    </row>
    <row r="634" spans="2:17">
      <c r="B634" s="1"/>
      <c r="C634" s="2"/>
      <c r="D634" s="3"/>
      <c r="E634" s="1"/>
      <c r="F634" s="1"/>
      <c r="G634" s="1"/>
      <c r="H634" s="1"/>
      <c r="I634" s="4"/>
      <c r="J634" s="4"/>
      <c r="K634" s="4"/>
      <c r="L634" s="4"/>
      <c r="M634" s="4"/>
      <c r="N634" s="4"/>
      <c r="O634" s="4"/>
      <c r="P634" s="5"/>
      <c r="Q634" s="1"/>
    </row>
    <row r="635" spans="2:17">
      <c r="B635" s="1"/>
      <c r="C635" s="2"/>
      <c r="D635" s="3"/>
      <c r="E635" s="1"/>
      <c r="F635" s="1"/>
      <c r="G635" s="1"/>
      <c r="H635" s="1"/>
      <c r="I635" s="4"/>
      <c r="J635" s="4"/>
      <c r="K635" s="4"/>
      <c r="L635" s="4"/>
      <c r="M635" s="4"/>
      <c r="N635" s="4"/>
      <c r="O635" s="4"/>
      <c r="P635" s="5"/>
      <c r="Q635" s="1"/>
    </row>
    <row r="636" spans="2:17">
      <c r="B636" s="1"/>
      <c r="C636" s="2"/>
      <c r="D636" s="3"/>
      <c r="E636" s="1"/>
      <c r="F636" s="1"/>
      <c r="G636" s="1"/>
      <c r="H636" s="1"/>
      <c r="I636" s="4"/>
      <c r="J636" s="4"/>
      <c r="K636" s="4"/>
      <c r="L636" s="4"/>
      <c r="M636" s="4"/>
      <c r="N636" s="4"/>
      <c r="O636" s="4"/>
      <c r="P636" s="5"/>
      <c r="Q636" s="1"/>
    </row>
    <row r="637" spans="2:17">
      <c r="B637" s="1"/>
      <c r="C637" s="2"/>
      <c r="D637" s="3"/>
      <c r="E637" s="1"/>
      <c r="F637" s="1"/>
      <c r="G637" s="1"/>
      <c r="H637" s="1"/>
      <c r="I637" s="4"/>
      <c r="J637" s="4"/>
      <c r="K637" s="4"/>
      <c r="L637" s="4"/>
      <c r="M637" s="4"/>
      <c r="N637" s="4"/>
      <c r="O637" s="4"/>
      <c r="P637" s="5"/>
      <c r="Q637" s="1"/>
    </row>
    <row r="638" spans="2:17">
      <c r="B638" s="1"/>
      <c r="C638" s="2"/>
      <c r="D638" s="3"/>
      <c r="E638" s="1"/>
      <c r="F638" s="1"/>
      <c r="G638" s="1"/>
      <c r="H638" s="1"/>
      <c r="I638" s="4"/>
      <c r="J638" s="4"/>
      <c r="K638" s="4"/>
      <c r="L638" s="4"/>
      <c r="M638" s="4"/>
      <c r="N638" s="4"/>
      <c r="O638" s="4"/>
      <c r="P638" s="5"/>
      <c r="Q638" s="1"/>
    </row>
    <row r="639" spans="2:17">
      <c r="B639" s="1"/>
      <c r="C639" s="2"/>
      <c r="D639" s="3"/>
      <c r="E639" s="1"/>
      <c r="F639" s="1"/>
      <c r="G639" s="1"/>
      <c r="H639" s="1"/>
      <c r="I639" s="4"/>
      <c r="J639" s="4"/>
      <c r="K639" s="4"/>
      <c r="L639" s="4"/>
      <c r="M639" s="4"/>
      <c r="N639" s="4"/>
      <c r="O639" s="4"/>
      <c r="P639" s="5"/>
      <c r="Q639" s="1"/>
    </row>
    <row r="640" spans="2:17">
      <c r="B640" s="1"/>
      <c r="C640" s="2"/>
      <c r="D640" s="3"/>
      <c r="E640" s="1"/>
      <c r="F640" s="1"/>
      <c r="G640" s="1"/>
      <c r="H640" s="1"/>
      <c r="I640" s="4"/>
      <c r="J640" s="4"/>
      <c r="K640" s="4"/>
      <c r="L640" s="4"/>
      <c r="M640" s="4"/>
      <c r="N640" s="4"/>
      <c r="O640" s="4"/>
      <c r="P640" s="5"/>
      <c r="Q640" s="1"/>
    </row>
    <row r="641" spans="2:17">
      <c r="B641" s="1"/>
      <c r="C641" s="2"/>
      <c r="D641" s="3"/>
      <c r="E641" s="1"/>
      <c r="F641" s="1"/>
      <c r="G641" s="1"/>
      <c r="H641" s="1"/>
      <c r="I641" s="4"/>
      <c r="J641" s="4"/>
      <c r="K641" s="4"/>
      <c r="L641" s="4"/>
      <c r="M641" s="4"/>
      <c r="N641" s="4"/>
      <c r="O641" s="4"/>
      <c r="P641" s="5"/>
      <c r="Q641" s="1"/>
    </row>
    <row r="642" spans="2:17">
      <c r="B642" s="1"/>
      <c r="C642" s="2"/>
      <c r="D642" s="3"/>
      <c r="E642" s="1"/>
      <c r="F642" s="1"/>
      <c r="G642" s="1"/>
      <c r="H642" s="1"/>
      <c r="I642" s="4"/>
      <c r="J642" s="4"/>
      <c r="K642" s="4"/>
      <c r="L642" s="4"/>
      <c r="M642" s="4"/>
      <c r="N642" s="4"/>
      <c r="O642" s="4"/>
      <c r="P642" s="5"/>
      <c r="Q642" s="1"/>
    </row>
    <row r="643" spans="2:17">
      <c r="B643" s="1"/>
      <c r="C643" s="2"/>
      <c r="D643" s="3"/>
      <c r="E643" s="1"/>
      <c r="F643" s="1"/>
      <c r="G643" s="1"/>
      <c r="H643" s="1"/>
      <c r="I643" s="4"/>
      <c r="J643" s="4"/>
      <c r="K643" s="4"/>
      <c r="L643" s="4"/>
      <c r="M643" s="4"/>
      <c r="N643" s="4"/>
      <c r="O643" s="4"/>
      <c r="P643" s="5"/>
      <c r="Q643" s="1"/>
    </row>
    <row r="644" spans="2:17">
      <c r="B644" s="1"/>
      <c r="C644" s="2"/>
      <c r="D644" s="3"/>
      <c r="E644" s="1"/>
      <c r="F644" s="1"/>
      <c r="G644" s="1"/>
      <c r="H644" s="1"/>
      <c r="I644" s="4"/>
      <c r="J644" s="4"/>
      <c r="K644" s="4"/>
      <c r="L644" s="4"/>
      <c r="M644" s="4"/>
      <c r="N644" s="4"/>
      <c r="O644" s="4"/>
      <c r="P644" s="5"/>
      <c r="Q644" s="1"/>
    </row>
    <row r="645" spans="2:17">
      <c r="B645" s="1"/>
      <c r="C645" s="2"/>
      <c r="D645" s="3"/>
      <c r="E645" s="1"/>
      <c r="F645" s="1"/>
      <c r="G645" s="1"/>
      <c r="H645" s="1"/>
      <c r="I645" s="4"/>
      <c r="J645" s="4"/>
      <c r="K645" s="4"/>
      <c r="L645" s="4"/>
      <c r="M645" s="4"/>
      <c r="N645" s="4"/>
      <c r="O645" s="4"/>
      <c r="P645" s="5"/>
      <c r="Q645" s="1"/>
    </row>
    <row r="646" spans="2:17">
      <c r="B646" s="1"/>
      <c r="C646" s="2"/>
      <c r="D646" s="3"/>
      <c r="E646" s="1"/>
      <c r="F646" s="1"/>
      <c r="G646" s="1"/>
      <c r="H646" s="1"/>
      <c r="I646" s="4"/>
      <c r="J646" s="4"/>
      <c r="K646" s="4"/>
      <c r="L646" s="4"/>
      <c r="M646" s="4"/>
      <c r="N646" s="4"/>
      <c r="O646" s="4"/>
      <c r="P646" s="5"/>
      <c r="Q646" s="1"/>
    </row>
    <row r="647" spans="2:17">
      <c r="B647" s="1"/>
      <c r="C647" s="2"/>
      <c r="D647" s="3"/>
      <c r="E647" s="1"/>
      <c r="F647" s="1"/>
      <c r="G647" s="1"/>
      <c r="H647" s="1"/>
      <c r="I647" s="4"/>
      <c r="J647" s="4"/>
      <c r="K647" s="4"/>
      <c r="L647" s="4"/>
      <c r="M647" s="4"/>
      <c r="N647" s="4"/>
      <c r="O647" s="4"/>
      <c r="P647" s="5"/>
      <c r="Q647" s="1"/>
    </row>
    <row r="648" spans="2:17">
      <c r="B648" s="1"/>
      <c r="C648" s="2"/>
      <c r="D648" s="3"/>
      <c r="E648" s="1"/>
      <c r="F648" s="1"/>
      <c r="G648" s="1"/>
      <c r="H648" s="1"/>
      <c r="I648" s="4"/>
      <c r="J648" s="4"/>
      <c r="K648" s="4"/>
      <c r="L648" s="4"/>
      <c r="M648" s="4"/>
      <c r="N648" s="4"/>
      <c r="O648" s="4"/>
      <c r="P648" s="5"/>
      <c r="Q648" s="1"/>
    </row>
    <row r="649" spans="2:17">
      <c r="B649" s="1"/>
      <c r="C649" s="2"/>
      <c r="D649" s="3"/>
      <c r="E649" s="1"/>
      <c r="F649" s="1"/>
      <c r="G649" s="1"/>
      <c r="H649" s="1"/>
      <c r="I649" s="4"/>
      <c r="J649" s="4"/>
      <c r="K649" s="4"/>
      <c r="L649" s="4"/>
      <c r="M649" s="4"/>
      <c r="N649" s="4"/>
      <c r="O649" s="4"/>
      <c r="P649" s="5"/>
      <c r="Q649" s="1"/>
    </row>
    <row r="650" spans="2:17">
      <c r="B650" s="1"/>
      <c r="C650" s="2"/>
      <c r="D650" s="3"/>
      <c r="E650" s="1"/>
      <c r="F650" s="1"/>
      <c r="G650" s="1"/>
      <c r="H650" s="1"/>
      <c r="I650" s="4"/>
      <c r="J650" s="4"/>
      <c r="K650" s="4"/>
      <c r="L650" s="4"/>
      <c r="M650" s="4"/>
      <c r="N650" s="4"/>
      <c r="O650" s="4"/>
      <c r="P650" s="5"/>
      <c r="Q650" s="1"/>
    </row>
    <row r="651" spans="2:17">
      <c r="B651" s="1"/>
      <c r="C651" s="2"/>
      <c r="D651" s="3"/>
      <c r="E651" s="1"/>
      <c r="F651" s="1"/>
      <c r="G651" s="1"/>
      <c r="H651" s="1"/>
      <c r="I651" s="4"/>
      <c r="J651" s="4"/>
      <c r="K651" s="4"/>
      <c r="L651" s="4"/>
      <c r="M651" s="4"/>
      <c r="N651" s="4"/>
      <c r="O651" s="4"/>
      <c r="P651" s="5"/>
      <c r="Q651" s="1"/>
    </row>
    <row r="652" spans="2:17">
      <c r="B652" s="1"/>
      <c r="C652" s="2"/>
      <c r="D652" s="3"/>
      <c r="E652" s="1"/>
      <c r="F652" s="1"/>
      <c r="G652" s="1"/>
      <c r="H652" s="1"/>
      <c r="I652" s="4"/>
      <c r="J652" s="4"/>
      <c r="K652" s="4"/>
      <c r="L652" s="4"/>
      <c r="M652" s="4"/>
      <c r="N652" s="4"/>
      <c r="O652" s="4"/>
      <c r="P652" s="5"/>
      <c r="Q652" s="1"/>
    </row>
    <row r="653" spans="2:17">
      <c r="B653" s="1"/>
      <c r="C653" s="2"/>
      <c r="D653" s="3"/>
      <c r="E653" s="1"/>
      <c r="F653" s="1"/>
      <c r="G653" s="1"/>
      <c r="H653" s="1"/>
      <c r="I653" s="4"/>
      <c r="J653" s="4"/>
      <c r="K653" s="4"/>
      <c r="L653" s="4"/>
      <c r="M653" s="4"/>
      <c r="N653" s="4"/>
      <c r="O653" s="4"/>
      <c r="P653" s="5"/>
      <c r="Q653" s="1"/>
    </row>
    <row r="654" spans="2:17">
      <c r="B654" s="1"/>
      <c r="C654" s="2"/>
      <c r="D654" s="3"/>
      <c r="E654" s="1"/>
      <c r="F654" s="1"/>
      <c r="G654" s="1"/>
      <c r="H654" s="1"/>
      <c r="I654" s="4"/>
      <c r="J654" s="4"/>
      <c r="K654" s="4"/>
      <c r="L654" s="4"/>
      <c r="M654" s="4"/>
      <c r="N654" s="4"/>
      <c r="O654" s="4"/>
      <c r="P654" s="5"/>
      <c r="Q654" s="1"/>
    </row>
    <row r="655" spans="2:17">
      <c r="B655" s="1"/>
      <c r="C655" s="2"/>
      <c r="D655" s="3"/>
      <c r="E655" s="1"/>
      <c r="F655" s="1"/>
      <c r="G655" s="1"/>
      <c r="H655" s="1"/>
      <c r="I655" s="4"/>
      <c r="J655" s="4"/>
      <c r="K655" s="4"/>
      <c r="L655" s="4"/>
      <c r="M655" s="4"/>
      <c r="N655" s="4"/>
      <c r="O655" s="4"/>
      <c r="P655" s="5"/>
      <c r="Q655" s="1"/>
    </row>
    <row r="656" spans="2:17">
      <c r="B656" s="1"/>
      <c r="C656" s="2"/>
      <c r="D656" s="3"/>
      <c r="E656" s="1"/>
      <c r="F656" s="1"/>
      <c r="G656" s="1"/>
      <c r="H656" s="1"/>
      <c r="I656" s="4"/>
      <c r="J656" s="4"/>
      <c r="K656" s="4"/>
      <c r="L656" s="4"/>
      <c r="M656" s="4"/>
      <c r="N656" s="4"/>
      <c r="O656" s="4"/>
      <c r="P656" s="5"/>
      <c r="Q656" s="1"/>
    </row>
    <row r="657" spans="2:17">
      <c r="B657" s="1"/>
      <c r="C657" s="2"/>
      <c r="D657" s="3"/>
      <c r="E657" s="1"/>
      <c r="F657" s="1"/>
      <c r="G657" s="1"/>
      <c r="H657" s="1"/>
      <c r="I657" s="4"/>
      <c r="J657" s="4"/>
      <c r="K657" s="4"/>
      <c r="L657" s="4"/>
      <c r="M657" s="4"/>
      <c r="N657" s="4"/>
      <c r="O657" s="4"/>
      <c r="P657" s="5"/>
      <c r="Q657" s="1"/>
    </row>
    <row r="658" spans="2:17">
      <c r="B658" s="1"/>
      <c r="C658" s="2"/>
      <c r="D658" s="3"/>
      <c r="E658" s="1"/>
      <c r="F658" s="1"/>
      <c r="G658" s="1"/>
      <c r="H658" s="1"/>
      <c r="I658" s="4"/>
      <c r="J658" s="4"/>
      <c r="K658" s="4"/>
      <c r="L658" s="4"/>
      <c r="M658" s="4"/>
      <c r="N658" s="4"/>
      <c r="O658" s="4"/>
      <c r="P658" s="5"/>
      <c r="Q658" s="1"/>
    </row>
    <row r="659" spans="2:17">
      <c r="B659" s="1"/>
      <c r="C659" s="2"/>
      <c r="D659" s="3"/>
      <c r="E659" s="1"/>
      <c r="F659" s="1"/>
      <c r="G659" s="1"/>
      <c r="H659" s="1"/>
      <c r="I659" s="4"/>
      <c r="J659" s="4"/>
      <c r="K659" s="4"/>
      <c r="L659" s="4"/>
      <c r="M659" s="4"/>
      <c r="N659" s="4"/>
      <c r="O659" s="4"/>
      <c r="P659" s="5"/>
      <c r="Q659" s="1"/>
    </row>
    <row r="660" spans="2:17">
      <c r="B660" s="1"/>
      <c r="C660" s="2"/>
      <c r="D660" s="3"/>
      <c r="E660" s="1"/>
      <c r="F660" s="1"/>
      <c r="G660" s="1"/>
      <c r="H660" s="1"/>
      <c r="I660" s="4"/>
      <c r="J660" s="4"/>
      <c r="K660" s="4"/>
      <c r="L660" s="4"/>
      <c r="M660" s="4"/>
      <c r="N660" s="4"/>
      <c r="O660" s="4"/>
      <c r="P660" s="5"/>
      <c r="Q660" s="1"/>
    </row>
    <row r="661" spans="2:17">
      <c r="B661" s="1"/>
      <c r="C661" s="2"/>
      <c r="D661" s="3"/>
      <c r="E661" s="1"/>
      <c r="F661" s="1"/>
      <c r="G661" s="1"/>
      <c r="H661" s="1"/>
      <c r="I661" s="4"/>
      <c r="J661" s="4"/>
      <c r="K661" s="4"/>
      <c r="L661" s="4"/>
      <c r="M661" s="4"/>
      <c r="N661" s="4"/>
      <c r="O661" s="4"/>
      <c r="P661" s="5"/>
      <c r="Q661" s="1"/>
    </row>
    <row r="662" spans="2:17">
      <c r="B662" s="1"/>
      <c r="C662" s="2"/>
      <c r="D662" s="3"/>
      <c r="E662" s="1"/>
      <c r="F662" s="1"/>
      <c r="G662" s="1"/>
      <c r="H662" s="1"/>
      <c r="I662" s="4"/>
      <c r="J662" s="4"/>
      <c r="K662" s="4"/>
      <c r="L662" s="4"/>
      <c r="M662" s="4"/>
      <c r="N662" s="4"/>
      <c r="O662" s="4"/>
      <c r="P662" s="5"/>
      <c r="Q662" s="1"/>
    </row>
    <row r="663" spans="2:17">
      <c r="B663" s="1"/>
      <c r="C663" s="2"/>
      <c r="D663" s="3"/>
      <c r="E663" s="1"/>
      <c r="F663" s="1"/>
      <c r="G663" s="1"/>
      <c r="H663" s="1"/>
      <c r="I663" s="4"/>
      <c r="J663" s="4"/>
      <c r="K663" s="4"/>
      <c r="L663" s="4"/>
      <c r="M663" s="4"/>
      <c r="N663" s="4"/>
      <c r="O663" s="4"/>
      <c r="P663" s="5"/>
      <c r="Q663" s="1"/>
    </row>
    <row r="664" spans="2:17">
      <c r="B664" s="1"/>
      <c r="C664" s="2"/>
      <c r="D664" s="3"/>
      <c r="E664" s="1"/>
      <c r="F664" s="1"/>
      <c r="G664" s="1"/>
      <c r="H664" s="1"/>
      <c r="I664" s="4"/>
      <c r="J664" s="4"/>
      <c r="K664" s="4"/>
      <c r="L664" s="4"/>
      <c r="M664" s="4"/>
      <c r="N664" s="4"/>
      <c r="O664" s="4"/>
      <c r="P664" s="5"/>
      <c r="Q664" s="1"/>
    </row>
    <row r="665" spans="2:17">
      <c r="B665" s="1"/>
      <c r="C665" s="2"/>
      <c r="D665" s="3"/>
      <c r="E665" s="1"/>
      <c r="F665" s="1"/>
      <c r="G665" s="1"/>
      <c r="H665" s="1"/>
      <c r="I665" s="4"/>
      <c r="J665" s="4"/>
      <c r="K665" s="4"/>
      <c r="L665" s="4"/>
      <c r="M665" s="4"/>
      <c r="N665" s="4"/>
      <c r="O665" s="4"/>
      <c r="P665" s="5"/>
      <c r="Q665" s="1"/>
    </row>
    <row r="666" spans="2:17">
      <c r="B666" s="1"/>
      <c r="C666" s="2"/>
      <c r="D666" s="3"/>
      <c r="E666" s="1"/>
      <c r="F666" s="1"/>
      <c r="G666" s="1"/>
      <c r="H666" s="1"/>
      <c r="I666" s="4"/>
      <c r="J666" s="4"/>
      <c r="K666" s="4"/>
      <c r="L666" s="4"/>
      <c r="M666" s="4"/>
      <c r="N666" s="4"/>
      <c r="O666" s="4"/>
      <c r="P666" s="5"/>
      <c r="Q666" s="1"/>
    </row>
    <row r="667" spans="2:17">
      <c r="B667" s="1"/>
      <c r="C667" s="2"/>
      <c r="D667" s="3"/>
      <c r="E667" s="1"/>
      <c r="F667" s="1"/>
      <c r="G667" s="1"/>
      <c r="H667" s="1"/>
      <c r="I667" s="4"/>
      <c r="J667" s="4"/>
      <c r="K667" s="4"/>
      <c r="L667" s="4"/>
      <c r="M667" s="4"/>
      <c r="N667" s="4"/>
      <c r="O667" s="4"/>
      <c r="P667" s="5"/>
      <c r="Q667" s="1"/>
    </row>
    <row r="668" spans="2:17">
      <c r="B668" s="1"/>
      <c r="C668" s="2"/>
      <c r="D668" s="3"/>
      <c r="E668" s="1"/>
      <c r="F668" s="1"/>
      <c r="G668" s="1"/>
      <c r="H668" s="1"/>
      <c r="I668" s="4"/>
      <c r="J668" s="4"/>
      <c r="K668" s="4"/>
      <c r="L668" s="4"/>
      <c r="M668" s="4"/>
      <c r="N668" s="4"/>
      <c r="O668" s="4"/>
      <c r="P668" s="5"/>
      <c r="Q668" s="1"/>
    </row>
    <row r="669" spans="2:17">
      <c r="B669" s="1"/>
      <c r="C669" s="2"/>
      <c r="D669" s="3"/>
      <c r="E669" s="1"/>
      <c r="F669" s="1"/>
      <c r="G669" s="1"/>
      <c r="H669" s="1"/>
      <c r="I669" s="4"/>
      <c r="J669" s="4"/>
      <c r="K669" s="4"/>
      <c r="L669" s="4"/>
      <c r="M669" s="4"/>
      <c r="N669" s="4"/>
      <c r="O669" s="4"/>
      <c r="P669" s="5"/>
      <c r="Q669" s="1"/>
    </row>
    <row r="670" spans="2:17">
      <c r="B670" s="1"/>
      <c r="C670" s="2"/>
      <c r="D670" s="3"/>
      <c r="E670" s="1"/>
      <c r="F670" s="1"/>
      <c r="G670" s="1"/>
      <c r="H670" s="1"/>
      <c r="I670" s="4"/>
      <c r="J670" s="4"/>
      <c r="K670" s="4"/>
      <c r="L670" s="4"/>
      <c r="M670" s="4"/>
      <c r="N670" s="4"/>
      <c r="O670" s="4"/>
      <c r="P670" s="5"/>
      <c r="Q670" s="1"/>
    </row>
    <row r="671" spans="2:17">
      <c r="B671" s="1"/>
      <c r="C671" s="2"/>
      <c r="D671" s="3"/>
      <c r="E671" s="1"/>
      <c r="F671" s="1"/>
      <c r="G671" s="1"/>
      <c r="H671" s="1"/>
      <c r="I671" s="4"/>
      <c r="J671" s="4"/>
      <c r="K671" s="4"/>
      <c r="L671" s="4"/>
      <c r="M671" s="4"/>
      <c r="N671" s="4"/>
      <c r="O671" s="4"/>
      <c r="P671" s="5"/>
      <c r="Q671" s="1"/>
    </row>
    <row r="672" spans="2:17">
      <c r="B672" s="1"/>
      <c r="C672" s="2"/>
      <c r="D672" s="3"/>
      <c r="E672" s="1"/>
      <c r="F672" s="1"/>
      <c r="G672" s="1"/>
      <c r="H672" s="1"/>
      <c r="I672" s="4"/>
      <c r="J672" s="4"/>
      <c r="K672" s="4"/>
      <c r="L672" s="4"/>
      <c r="M672" s="4"/>
      <c r="N672" s="4"/>
      <c r="O672" s="4"/>
      <c r="P672" s="5"/>
      <c r="Q672" s="1"/>
    </row>
    <row r="673" spans="2:17">
      <c r="B673" s="1"/>
      <c r="C673" s="2"/>
      <c r="D673" s="3"/>
      <c r="E673" s="1"/>
      <c r="F673" s="1"/>
      <c r="G673" s="1"/>
      <c r="H673" s="1"/>
      <c r="I673" s="4"/>
      <c r="J673" s="4"/>
      <c r="K673" s="4"/>
      <c r="L673" s="4"/>
      <c r="M673" s="4"/>
      <c r="N673" s="4"/>
      <c r="O673" s="4"/>
      <c r="P673" s="5"/>
      <c r="Q673" s="1"/>
    </row>
    <row r="674" spans="2:17">
      <c r="B674" s="1"/>
      <c r="C674" s="2"/>
      <c r="D674" s="3"/>
      <c r="E674" s="1"/>
      <c r="F674" s="1"/>
      <c r="G674" s="1"/>
      <c r="H674" s="1"/>
      <c r="I674" s="4"/>
      <c r="J674" s="4"/>
      <c r="K674" s="4"/>
      <c r="L674" s="4"/>
      <c r="M674" s="4"/>
      <c r="N674" s="4"/>
      <c r="O674" s="4"/>
      <c r="P674" s="5"/>
      <c r="Q674" s="1"/>
    </row>
    <row r="675" spans="2:17">
      <c r="B675" s="1"/>
      <c r="C675" s="2"/>
      <c r="D675" s="3"/>
      <c r="E675" s="1"/>
      <c r="F675" s="1"/>
      <c r="G675" s="1"/>
      <c r="H675" s="1"/>
      <c r="I675" s="4"/>
      <c r="J675" s="4"/>
      <c r="K675" s="4"/>
      <c r="L675" s="4"/>
      <c r="M675" s="4"/>
      <c r="N675" s="4"/>
      <c r="O675" s="4"/>
      <c r="P675" s="5"/>
      <c r="Q675" s="1"/>
    </row>
    <row r="676" spans="2:17">
      <c r="B676" s="1"/>
      <c r="C676" s="2"/>
      <c r="D676" s="3"/>
      <c r="E676" s="1"/>
      <c r="F676" s="1"/>
      <c r="G676" s="1"/>
      <c r="H676" s="1"/>
      <c r="I676" s="4"/>
      <c r="J676" s="4"/>
      <c r="K676" s="4"/>
      <c r="L676" s="4"/>
      <c r="M676" s="4"/>
      <c r="N676" s="4"/>
      <c r="O676" s="4"/>
      <c r="P676" s="5"/>
      <c r="Q676" s="1"/>
    </row>
    <row r="677" spans="2:17">
      <c r="B677" s="1"/>
      <c r="C677" s="2"/>
      <c r="D677" s="3"/>
      <c r="E677" s="1"/>
      <c r="F677" s="1"/>
      <c r="G677" s="1"/>
      <c r="H677" s="1"/>
      <c r="I677" s="4"/>
      <c r="J677" s="4"/>
      <c r="K677" s="4"/>
      <c r="L677" s="4"/>
      <c r="M677" s="4"/>
      <c r="N677" s="4"/>
      <c r="O677" s="4"/>
      <c r="P677" s="5"/>
      <c r="Q677" s="1"/>
    </row>
    <row r="678" spans="2:17">
      <c r="B678" s="1"/>
      <c r="C678" s="2"/>
      <c r="D678" s="3"/>
      <c r="E678" s="1"/>
      <c r="F678" s="1"/>
      <c r="G678" s="1"/>
      <c r="H678" s="1"/>
      <c r="I678" s="4"/>
      <c r="J678" s="4"/>
      <c r="K678" s="4"/>
      <c r="L678" s="4"/>
      <c r="M678" s="4"/>
      <c r="N678" s="4"/>
      <c r="O678" s="4"/>
      <c r="P678" s="5"/>
      <c r="Q678" s="1"/>
    </row>
    <row r="679" spans="2:17">
      <c r="B679" s="1"/>
      <c r="C679" s="2"/>
      <c r="D679" s="3"/>
      <c r="E679" s="1"/>
      <c r="F679" s="1"/>
      <c r="G679" s="1"/>
      <c r="H679" s="1"/>
      <c r="I679" s="4"/>
      <c r="J679" s="4"/>
      <c r="K679" s="4"/>
      <c r="L679" s="4"/>
      <c r="M679" s="4"/>
      <c r="N679" s="4"/>
      <c r="O679" s="4"/>
      <c r="P679" s="5"/>
      <c r="Q679" s="1"/>
    </row>
    <row r="680" spans="2:17">
      <c r="B680" s="1"/>
      <c r="C680" s="2"/>
      <c r="D680" s="3"/>
      <c r="E680" s="1"/>
      <c r="F680" s="1"/>
      <c r="G680" s="1"/>
      <c r="H680" s="1"/>
      <c r="I680" s="4"/>
      <c r="J680" s="4"/>
      <c r="K680" s="4"/>
      <c r="L680" s="4"/>
      <c r="M680" s="4"/>
      <c r="N680" s="4"/>
      <c r="O680" s="4"/>
      <c r="P680" s="5"/>
      <c r="Q680" s="1"/>
    </row>
    <row r="681" spans="2:17">
      <c r="B681" s="1"/>
      <c r="C681" s="2"/>
      <c r="D681" s="3"/>
      <c r="E681" s="1"/>
      <c r="F681" s="1"/>
      <c r="G681" s="1"/>
      <c r="H681" s="1"/>
      <c r="I681" s="4"/>
      <c r="J681" s="4"/>
      <c r="K681" s="4"/>
      <c r="L681" s="4"/>
      <c r="M681" s="4"/>
      <c r="N681" s="4"/>
      <c r="O681" s="4"/>
      <c r="P681" s="5"/>
      <c r="Q681" s="1"/>
    </row>
    <row r="682" spans="2:17">
      <c r="B682" s="1"/>
      <c r="C682" s="2"/>
      <c r="D682" s="3"/>
      <c r="E682" s="1"/>
      <c r="F682" s="1"/>
      <c r="G682" s="1"/>
      <c r="H682" s="1"/>
      <c r="I682" s="4"/>
      <c r="J682" s="4"/>
      <c r="K682" s="4"/>
      <c r="L682" s="4"/>
      <c r="M682" s="4"/>
      <c r="N682" s="4"/>
      <c r="O682" s="4"/>
      <c r="P682" s="5"/>
      <c r="Q682" s="1"/>
    </row>
    <row r="683" spans="2:17">
      <c r="B683" s="1"/>
      <c r="C683" s="2"/>
      <c r="D683" s="3"/>
      <c r="E683" s="1"/>
      <c r="F683" s="1"/>
      <c r="G683" s="1"/>
      <c r="H683" s="1"/>
      <c r="I683" s="4"/>
      <c r="J683" s="4"/>
      <c r="K683" s="4"/>
      <c r="L683" s="4"/>
      <c r="M683" s="4"/>
      <c r="N683" s="4"/>
      <c r="O683" s="4"/>
      <c r="P683" s="5"/>
      <c r="Q683" s="1"/>
    </row>
    <row r="684" spans="2:17">
      <c r="B684" s="1"/>
      <c r="C684" s="2"/>
      <c r="D684" s="3"/>
      <c r="E684" s="1"/>
      <c r="F684" s="1"/>
      <c r="G684" s="1"/>
      <c r="H684" s="1"/>
      <c r="I684" s="4"/>
      <c r="J684" s="4"/>
      <c r="K684" s="4"/>
      <c r="L684" s="4"/>
      <c r="M684" s="4"/>
      <c r="N684" s="4"/>
      <c r="O684" s="4"/>
      <c r="P684" s="5"/>
      <c r="Q684" s="1"/>
    </row>
    <row r="685" spans="2:17">
      <c r="B685" s="1"/>
      <c r="C685" s="2"/>
      <c r="D685" s="3"/>
      <c r="E685" s="1"/>
      <c r="F685" s="1"/>
      <c r="G685" s="1"/>
      <c r="H685" s="1"/>
      <c r="I685" s="4"/>
      <c r="J685" s="4"/>
      <c r="K685" s="4"/>
      <c r="L685" s="4"/>
      <c r="M685" s="4"/>
      <c r="N685" s="4"/>
      <c r="O685" s="4"/>
      <c r="P685" s="5"/>
      <c r="Q685" s="1"/>
    </row>
    <row r="686" spans="2:17">
      <c r="B686" s="1"/>
      <c r="C686" s="2"/>
      <c r="D686" s="3"/>
      <c r="E686" s="1"/>
      <c r="F686" s="1"/>
      <c r="G686" s="1"/>
      <c r="H686" s="1"/>
      <c r="I686" s="4"/>
      <c r="J686" s="4"/>
      <c r="K686" s="4"/>
      <c r="L686" s="4"/>
      <c r="M686" s="4"/>
      <c r="N686" s="4"/>
      <c r="O686" s="4"/>
      <c r="P686" s="5"/>
      <c r="Q686" s="1"/>
    </row>
    <row r="687" spans="2:17">
      <c r="B687" s="1"/>
      <c r="C687" s="2"/>
      <c r="D687" s="3"/>
      <c r="E687" s="1"/>
      <c r="F687" s="1"/>
      <c r="G687" s="1"/>
      <c r="H687" s="1"/>
      <c r="I687" s="4"/>
      <c r="J687" s="4"/>
      <c r="K687" s="4"/>
      <c r="L687" s="4"/>
      <c r="M687" s="4"/>
      <c r="N687" s="4"/>
      <c r="O687" s="4"/>
      <c r="P687" s="5"/>
      <c r="Q687" s="1"/>
    </row>
    <row r="688" spans="2:17">
      <c r="B688" s="1"/>
      <c r="C688" s="2"/>
      <c r="D688" s="3"/>
      <c r="E688" s="1"/>
      <c r="F688" s="1"/>
      <c r="G688" s="1"/>
      <c r="H688" s="1"/>
      <c r="I688" s="4"/>
      <c r="J688" s="4"/>
      <c r="K688" s="4"/>
      <c r="L688" s="4"/>
      <c r="M688" s="4"/>
      <c r="N688" s="4"/>
      <c r="O688" s="4"/>
      <c r="P688" s="5"/>
      <c r="Q688" s="1"/>
    </row>
    <row r="689" spans="2:17">
      <c r="B689" s="1"/>
      <c r="C689" s="2"/>
      <c r="D689" s="3"/>
      <c r="E689" s="1"/>
      <c r="F689" s="1"/>
      <c r="G689" s="1"/>
      <c r="H689" s="1"/>
      <c r="I689" s="4"/>
      <c r="J689" s="4"/>
      <c r="K689" s="4"/>
      <c r="L689" s="4"/>
      <c r="M689" s="4"/>
      <c r="N689" s="4"/>
      <c r="O689" s="4"/>
      <c r="P689" s="5"/>
      <c r="Q689" s="1"/>
    </row>
    <row r="690" spans="2:17">
      <c r="B690" s="1"/>
      <c r="C690" s="2"/>
      <c r="D690" s="3"/>
      <c r="E690" s="1"/>
      <c r="F690" s="1"/>
      <c r="G690" s="1"/>
      <c r="H690" s="1"/>
      <c r="I690" s="4"/>
      <c r="J690" s="4"/>
      <c r="K690" s="4"/>
      <c r="L690" s="4"/>
      <c r="M690" s="4"/>
      <c r="N690" s="4"/>
      <c r="O690" s="4"/>
      <c r="P690" s="5"/>
      <c r="Q690" s="1"/>
    </row>
    <row r="691" spans="2:17">
      <c r="B691" s="1"/>
      <c r="C691" s="2"/>
      <c r="D691" s="3"/>
      <c r="E691" s="1"/>
      <c r="F691" s="1"/>
      <c r="G691" s="1"/>
      <c r="H691" s="1"/>
      <c r="I691" s="4"/>
      <c r="J691" s="4"/>
      <c r="K691" s="4"/>
      <c r="L691" s="4"/>
      <c r="M691" s="4"/>
      <c r="N691" s="4"/>
      <c r="O691" s="4"/>
      <c r="P691" s="5"/>
      <c r="Q691" s="1"/>
    </row>
    <row r="692" spans="2:17">
      <c r="B692" s="1"/>
      <c r="C692" s="2"/>
      <c r="D692" s="3"/>
      <c r="E692" s="1"/>
      <c r="F692" s="1"/>
      <c r="G692" s="1"/>
      <c r="H692" s="1"/>
      <c r="I692" s="4"/>
      <c r="J692" s="4"/>
      <c r="K692" s="4"/>
      <c r="L692" s="4"/>
      <c r="M692" s="4"/>
      <c r="N692" s="4"/>
      <c r="O692" s="4"/>
      <c r="P692" s="5"/>
      <c r="Q692" s="1"/>
    </row>
    <row r="693" spans="2:17">
      <c r="B693" s="1"/>
      <c r="C693" s="2"/>
      <c r="D693" s="3"/>
      <c r="E693" s="1"/>
      <c r="F693" s="1"/>
      <c r="G693" s="1"/>
      <c r="H693" s="1"/>
      <c r="I693" s="4"/>
      <c r="J693" s="4"/>
      <c r="K693" s="4"/>
      <c r="L693" s="4"/>
      <c r="M693" s="4"/>
      <c r="N693" s="4"/>
      <c r="O693" s="4"/>
      <c r="P693" s="5"/>
      <c r="Q693" s="1"/>
    </row>
    <row r="694" spans="2:17">
      <c r="B694" s="1"/>
      <c r="C694" s="2"/>
      <c r="D694" s="3"/>
      <c r="E694" s="1"/>
      <c r="F694" s="1"/>
      <c r="G694" s="1"/>
      <c r="H694" s="1"/>
      <c r="I694" s="4"/>
      <c r="J694" s="4"/>
      <c r="K694" s="4"/>
      <c r="L694" s="4"/>
      <c r="M694" s="4"/>
      <c r="N694" s="4"/>
      <c r="O694" s="4"/>
      <c r="P694" s="5"/>
      <c r="Q694" s="1"/>
    </row>
    <row r="695" spans="2:17">
      <c r="B695" s="1"/>
      <c r="C695" s="2"/>
      <c r="D695" s="3"/>
      <c r="E695" s="1"/>
      <c r="F695" s="1"/>
      <c r="G695" s="1"/>
      <c r="H695" s="1"/>
      <c r="I695" s="4"/>
      <c r="J695" s="4"/>
      <c r="K695" s="4"/>
      <c r="L695" s="4"/>
      <c r="M695" s="4"/>
      <c r="N695" s="4"/>
      <c r="O695" s="4"/>
      <c r="P695" s="5"/>
      <c r="Q695" s="1"/>
    </row>
    <row r="696" spans="2:17">
      <c r="B696" s="1"/>
      <c r="C696" s="2"/>
      <c r="D696" s="3"/>
      <c r="E696" s="1"/>
      <c r="F696" s="1"/>
      <c r="G696" s="1"/>
      <c r="H696" s="1"/>
      <c r="I696" s="4"/>
      <c r="J696" s="4"/>
      <c r="K696" s="4"/>
      <c r="L696" s="4"/>
      <c r="M696" s="4"/>
      <c r="N696" s="4"/>
      <c r="O696" s="4"/>
      <c r="P696" s="5"/>
      <c r="Q696" s="1"/>
    </row>
    <row r="697" spans="2:17">
      <c r="B697" s="1"/>
      <c r="C697" s="2"/>
      <c r="D697" s="3"/>
      <c r="E697" s="1"/>
      <c r="F697" s="1"/>
      <c r="G697" s="1"/>
      <c r="H697" s="1"/>
      <c r="I697" s="4"/>
      <c r="J697" s="4"/>
      <c r="K697" s="4"/>
      <c r="L697" s="4"/>
      <c r="M697" s="4"/>
      <c r="N697" s="4"/>
      <c r="O697" s="4"/>
      <c r="P697" s="5"/>
      <c r="Q697" s="1"/>
    </row>
    <row r="698" spans="2:17">
      <c r="B698" s="1"/>
      <c r="C698" s="2"/>
      <c r="D698" s="3"/>
      <c r="E698" s="1"/>
      <c r="F698" s="1"/>
      <c r="G698" s="1"/>
      <c r="H698" s="1"/>
      <c r="I698" s="4"/>
      <c r="J698" s="4"/>
      <c r="K698" s="4"/>
      <c r="L698" s="4"/>
      <c r="M698" s="4"/>
      <c r="N698" s="4"/>
      <c r="O698" s="4"/>
      <c r="P698" s="5"/>
      <c r="Q698" s="1"/>
    </row>
    <row r="699" spans="2:17">
      <c r="B699" s="1"/>
      <c r="C699" s="2"/>
      <c r="D699" s="3"/>
      <c r="E699" s="1"/>
      <c r="F699" s="1"/>
      <c r="G699" s="1"/>
      <c r="H699" s="1"/>
      <c r="I699" s="4"/>
      <c r="J699" s="4"/>
      <c r="K699" s="4"/>
      <c r="L699" s="4"/>
      <c r="M699" s="4"/>
      <c r="N699" s="4"/>
      <c r="O699" s="4"/>
      <c r="P699" s="5"/>
      <c r="Q699" s="1"/>
    </row>
    <row r="700" spans="2:17">
      <c r="B700" s="1"/>
      <c r="C700" s="2"/>
      <c r="D700" s="3"/>
      <c r="E700" s="1"/>
      <c r="F700" s="1"/>
      <c r="G700" s="1"/>
      <c r="H700" s="1"/>
      <c r="I700" s="4"/>
      <c r="J700" s="4"/>
      <c r="K700" s="4"/>
      <c r="L700" s="4"/>
      <c r="M700" s="4"/>
      <c r="N700" s="4"/>
      <c r="O700" s="4"/>
      <c r="P700" s="5"/>
      <c r="Q700" s="1"/>
    </row>
    <row r="701" spans="2:17">
      <c r="B701" s="1"/>
      <c r="C701" s="2"/>
      <c r="D701" s="3"/>
      <c r="E701" s="1"/>
      <c r="F701" s="1"/>
      <c r="G701" s="1"/>
      <c r="H701" s="1"/>
      <c r="I701" s="4"/>
      <c r="J701" s="4"/>
      <c r="K701" s="4"/>
      <c r="L701" s="4"/>
      <c r="M701" s="4"/>
      <c r="N701" s="4"/>
      <c r="O701" s="4"/>
      <c r="P701" s="5"/>
      <c r="Q701" s="1"/>
    </row>
    <row r="702" spans="2:17">
      <c r="B702" s="1"/>
      <c r="C702" s="2"/>
      <c r="D702" s="3"/>
      <c r="E702" s="1"/>
      <c r="F702" s="1"/>
      <c r="G702" s="1"/>
      <c r="H702" s="1"/>
      <c r="I702" s="4"/>
      <c r="J702" s="4"/>
      <c r="K702" s="4"/>
      <c r="L702" s="4"/>
      <c r="M702" s="4"/>
      <c r="N702" s="4"/>
      <c r="O702" s="4"/>
      <c r="P702" s="5"/>
      <c r="Q702" s="1"/>
    </row>
    <row r="703" spans="2:17">
      <c r="B703" s="1"/>
      <c r="C703" s="2"/>
      <c r="D703" s="3"/>
      <c r="E703" s="1"/>
      <c r="F703" s="1"/>
      <c r="G703" s="1"/>
      <c r="H703" s="1"/>
      <c r="I703" s="4"/>
      <c r="J703" s="4"/>
      <c r="K703" s="4"/>
      <c r="L703" s="4"/>
      <c r="M703" s="4"/>
      <c r="N703" s="4"/>
      <c r="O703" s="4"/>
      <c r="P703" s="5"/>
      <c r="Q703" s="1"/>
    </row>
    <row r="704" spans="2:17">
      <c r="B704" s="1"/>
      <c r="C704" s="2"/>
      <c r="D704" s="3"/>
      <c r="E704" s="1"/>
      <c r="F704" s="1"/>
      <c r="G704" s="1"/>
      <c r="H704" s="1"/>
      <c r="I704" s="4"/>
      <c r="J704" s="4"/>
      <c r="K704" s="4"/>
      <c r="L704" s="4"/>
      <c r="M704" s="4"/>
      <c r="N704" s="4"/>
      <c r="O704" s="4"/>
      <c r="P704" s="5"/>
      <c r="Q704" s="1"/>
    </row>
    <row r="705" spans="2:17">
      <c r="B705" s="1"/>
      <c r="C705" s="2"/>
      <c r="D705" s="3"/>
      <c r="E705" s="1"/>
      <c r="F705" s="1"/>
      <c r="G705" s="1"/>
      <c r="H705" s="1"/>
      <c r="I705" s="4"/>
      <c r="J705" s="4"/>
      <c r="K705" s="4"/>
      <c r="L705" s="4"/>
      <c r="M705" s="4"/>
      <c r="N705" s="4"/>
      <c r="O705" s="4"/>
      <c r="P705" s="5"/>
      <c r="Q705" s="1"/>
    </row>
    <row r="706" spans="2:17">
      <c r="B706" s="1"/>
      <c r="C706" s="2"/>
      <c r="D706" s="3"/>
      <c r="E706" s="1"/>
      <c r="F706" s="1"/>
      <c r="G706" s="1"/>
      <c r="H706" s="1"/>
      <c r="I706" s="4"/>
      <c r="J706" s="4"/>
      <c r="K706" s="4"/>
      <c r="L706" s="4"/>
      <c r="M706" s="4"/>
      <c r="N706" s="4"/>
      <c r="O706" s="4"/>
      <c r="P706" s="5"/>
      <c r="Q706" s="1"/>
    </row>
    <row r="707" spans="2:17">
      <c r="B707" s="1"/>
      <c r="C707" s="2"/>
      <c r="D707" s="3"/>
      <c r="E707" s="1"/>
      <c r="F707" s="1"/>
      <c r="G707" s="1"/>
      <c r="H707" s="1"/>
      <c r="I707" s="4"/>
      <c r="J707" s="4"/>
      <c r="K707" s="4"/>
      <c r="L707" s="4"/>
      <c r="M707" s="4"/>
      <c r="N707" s="4"/>
      <c r="O707" s="4"/>
      <c r="P707" s="5"/>
      <c r="Q707" s="1"/>
    </row>
    <row r="708" spans="2:17">
      <c r="B708" s="1"/>
      <c r="C708" s="2"/>
      <c r="D708" s="3"/>
      <c r="E708" s="1"/>
      <c r="F708" s="1"/>
      <c r="G708" s="1"/>
      <c r="H708" s="1"/>
      <c r="I708" s="4"/>
      <c r="J708" s="4"/>
      <c r="K708" s="4"/>
      <c r="L708" s="4"/>
      <c r="M708" s="4"/>
      <c r="N708" s="4"/>
      <c r="O708" s="4"/>
      <c r="P708" s="5"/>
      <c r="Q708" s="1"/>
    </row>
    <row r="709" spans="2:17">
      <c r="B709" s="1"/>
      <c r="C709" s="2"/>
      <c r="D709" s="3"/>
      <c r="E709" s="1"/>
      <c r="F709" s="1"/>
      <c r="G709" s="1"/>
      <c r="H709" s="1"/>
      <c r="I709" s="4"/>
      <c r="J709" s="4"/>
      <c r="K709" s="4"/>
      <c r="L709" s="4"/>
      <c r="M709" s="4"/>
      <c r="N709" s="4"/>
      <c r="O709" s="4"/>
      <c r="P709" s="5"/>
      <c r="Q709" s="1"/>
    </row>
    <row r="710" spans="2:17">
      <c r="B710" s="1"/>
      <c r="C710" s="2"/>
      <c r="D710" s="3"/>
      <c r="E710" s="1"/>
      <c r="F710" s="1"/>
      <c r="G710" s="1"/>
      <c r="H710" s="1"/>
      <c r="I710" s="4"/>
      <c r="J710" s="4"/>
      <c r="K710" s="4"/>
      <c r="L710" s="4"/>
      <c r="M710" s="4"/>
      <c r="N710" s="4"/>
      <c r="O710" s="4"/>
      <c r="P710" s="5"/>
      <c r="Q710" s="1"/>
    </row>
    <row r="711" spans="2:17">
      <c r="B711" s="1"/>
      <c r="C711" s="2"/>
      <c r="D711" s="3"/>
      <c r="E711" s="1"/>
      <c r="F711" s="1"/>
      <c r="G711" s="1"/>
      <c r="H711" s="1"/>
      <c r="I711" s="4"/>
      <c r="J711" s="4"/>
      <c r="K711" s="4"/>
      <c r="L711" s="4"/>
      <c r="M711" s="4"/>
      <c r="N711" s="4"/>
      <c r="O711" s="4"/>
      <c r="P711" s="5"/>
      <c r="Q711" s="1"/>
    </row>
    <row r="712" spans="2:17">
      <c r="B712" s="1"/>
      <c r="C712" s="2"/>
      <c r="D712" s="3"/>
      <c r="E712" s="1"/>
      <c r="F712" s="1"/>
      <c r="G712" s="1"/>
      <c r="H712" s="1"/>
      <c r="I712" s="4"/>
      <c r="J712" s="4"/>
      <c r="K712" s="4"/>
      <c r="L712" s="4"/>
      <c r="M712" s="4"/>
      <c r="N712" s="4"/>
      <c r="O712" s="4"/>
      <c r="P712" s="5"/>
      <c r="Q712" s="1"/>
    </row>
    <row r="713" spans="2:17">
      <c r="B713" s="1"/>
      <c r="C713" s="2"/>
      <c r="D713" s="3"/>
      <c r="E713" s="1"/>
      <c r="F713" s="1"/>
      <c r="G713" s="1"/>
      <c r="H713" s="1"/>
      <c r="I713" s="4"/>
      <c r="J713" s="4"/>
      <c r="K713" s="4"/>
      <c r="L713" s="4"/>
      <c r="M713" s="4"/>
      <c r="N713" s="4"/>
      <c r="O713" s="4"/>
      <c r="P713" s="5"/>
      <c r="Q713" s="1"/>
    </row>
    <row r="714" spans="2:17">
      <c r="B714" s="1"/>
      <c r="C714" s="2"/>
      <c r="D714" s="3"/>
      <c r="E714" s="1"/>
      <c r="F714" s="1"/>
      <c r="G714" s="1"/>
      <c r="H714" s="1"/>
      <c r="I714" s="4"/>
      <c r="J714" s="4"/>
      <c r="K714" s="4"/>
      <c r="L714" s="4"/>
      <c r="M714" s="4"/>
      <c r="N714" s="4"/>
      <c r="O714" s="4"/>
      <c r="P714" s="5"/>
      <c r="Q714" s="1"/>
    </row>
    <row r="715" spans="2:17">
      <c r="B715" s="1"/>
      <c r="C715" s="2"/>
      <c r="D715" s="3"/>
      <c r="E715" s="1"/>
      <c r="F715" s="1"/>
      <c r="G715" s="1"/>
      <c r="H715" s="1"/>
      <c r="I715" s="4"/>
      <c r="J715" s="4"/>
      <c r="K715" s="4"/>
      <c r="L715" s="4"/>
      <c r="M715" s="4"/>
      <c r="N715" s="4"/>
      <c r="O715" s="4"/>
      <c r="P715" s="5"/>
      <c r="Q715" s="1"/>
    </row>
    <row r="716" spans="2:17">
      <c r="B716" s="1"/>
      <c r="C716" s="2"/>
      <c r="D716" s="3"/>
      <c r="E716" s="1"/>
      <c r="F716" s="1"/>
      <c r="G716" s="1"/>
      <c r="H716" s="1"/>
      <c r="I716" s="4"/>
      <c r="J716" s="4"/>
      <c r="K716" s="4"/>
      <c r="L716" s="4"/>
      <c r="M716" s="4"/>
      <c r="N716" s="4"/>
      <c r="O716" s="4"/>
      <c r="P716" s="5"/>
      <c r="Q716" s="1"/>
    </row>
    <row r="717" spans="2:17">
      <c r="B717" s="1"/>
      <c r="C717" s="2"/>
      <c r="D717" s="3"/>
      <c r="E717" s="1"/>
      <c r="F717" s="1"/>
      <c r="G717" s="1"/>
      <c r="H717" s="1"/>
      <c r="I717" s="4"/>
      <c r="J717" s="4"/>
      <c r="K717" s="4"/>
      <c r="L717" s="4"/>
      <c r="M717" s="4"/>
      <c r="N717" s="4"/>
      <c r="O717" s="4"/>
      <c r="P717" s="5"/>
      <c r="Q717" s="1"/>
    </row>
    <row r="718" spans="2:17">
      <c r="B718" s="1"/>
      <c r="C718" s="2"/>
      <c r="D718" s="3"/>
      <c r="E718" s="1"/>
      <c r="F718" s="1"/>
      <c r="G718" s="1"/>
      <c r="H718" s="1"/>
      <c r="I718" s="4"/>
      <c r="J718" s="4"/>
      <c r="K718" s="4"/>
      <c r="L718" s="4"/>
      <c r="M718" s="4"/>
      <c r="N718" s="4"/>
      <c r="O718" s="4"/>
      <c r="P718" s="5"/>
      <c r="Q718" s="1"/>
    </row>
    <row r="719" spans="2:17">
      <c r="B719" s="1"/>
      <c r="C719" s="2"/>
      <c r="D719" s="3"/>
      <c r="E719" s="1"/>
      <c r="F719" s="1"/>
      <c r="G719" s="1"/>
      <c r="H719" s="1"/>
      <c r="I719" s="4"/>
      <c r="J719" s="4"/>
      <c r="K719" s="4"/>
      <c r="L719" s="4"/>
      <c r="M719" s="4"/>
      <c r="N719" s="4"/>
      <c r="O719" s="4"/>
      <c r="P719" s="5"/>
      <c r="Q719" s="1"/>
    </row>
    <row r="720" spans="2:17">
      <c r="B720" s="1"/>
      <c r="C720" s="2"/>
      <c r="D720" s="3"/>
      <c r="E720" s="1"/>
      <c r="F720" s="1"/>
      <c r="G720" s="1"/>
      <c r="H720" s="1"/>
      <c r="I720" s="4"/>
      <c r="J720" s="4"/>
      <c r="K720" s="4"/>
      <c r="L720" s="4"/>
      <c r="M720" s="4"/>
      <c r="N720" s="4"/>
      <c r="O720" s="4"/>
      <c r="P720" s="5"/>
      <c r="Q720" s="1"/>
    </row>
    <row r="721" spans="2:17">
      <c r="B721" s="1"/>
      <c r="C721" s="2"/>
      <c r="D721" s="3"/>
      <c r="E721" s="1"/>
      <c r="F721" s="1"/>
      <c r="G721" s="1"/>
      <c r="H721" s="1"/>
      <c r="I721" s="4"/>
      <c r="J721" s="4"/>
      <c r="K721" s="4"/>
      <c r="L721" s="4"/>
      <c r="M721" s="4"/>
      <c r="N721" s="4"/>
      <c r="O721" s="4"/>
      <c r="P721" s="5"/>
      <c r="Q721" s="1"/>
    </row>
    <row r="722" spans="2:17">
      <c r="B722" s="1"/>
      <c r="C722" s="2"/>
      <c r="D722" s="3"/>
      <c r="E722" s="1"/>
      <c r="F722" s="1"/>
      <c r="G722" s="1"/>
      <c r="H722" s="1"/>
      <c r="I722" s="4"/>
      <c r="J722" s="4"/>
      <c r="K722" s="4"/>
      <c r="L722" s="4"/>
      <c r="M722" s="4"/>
      <c r="N722" s="4"/>
      <c r="O722" s="4"/>
      <c r="P722" s="5"/>
      <c r="Q722" s="1"/>
    </row>
    <row r="723" spans="2:17">
      <c r="B723" s="1"/>
      <c r="C723" s="2"/>
      <c r="D723" s="3"/>
      <c r="E723" s="1"/>
      <c r="F723" s="1"/>
      <c r="G723" s="1"/>
      <c r="H723" s="1"/>
      <c r="I723" s="4"/>
      <c r="J723" s="4"/>
      <c r="K723" s="4"/>
      <c r="L723" s="4"/>
      <c r="M723" s="4"/>
      <c r="N723" s="4"/>
      <c r="O723" s="4"/>
      <c r="P723" s="5"/>
      <c r="Q723" s="1"/>
    </row>
    <row r="724" spans="2:17">
      <c r="B724" s="1"/>
      <c r="C724" s="2"/>
      <c r="D724" s="3"/>
      <c r="E724" s="1"/>
      <c r="F724" s="1"/>
      <c r="G724" s="1"/>
      <c r="H724" s="1"/>
      <c r="I724" s="4"/>
      <c r="J724" s="4"/>
      <c r="K724" s="4"/>
      <c r="L724" s="4"/>
      <c r="M724" s="4"/>
      <c r="N724" s="4"/>
      <c r="O724" s="4"/>
      <c r="P724" s="5"/>
      <c r="Q724" s="1"/>
    </row>
    <row r="725" spans="2:17">
      <c r="B725" s="1"/>
      <c r="C725" s="2"/>
      <c r="D725" s="3"/>
      <c r="E725" s="1"/>
      <c r="F725" s="1"/>
      <c r="G725" s="1"/>
      <c r="H725" s="1"/>
      <c r="I725" s="4"/>
      <c r="J725" s="4"/>
      <c r="K725" s="4"/>
      <c r="L725" s="4"/>
      <c r="M725" s="4"/>
      <c r="N725" s="4"/>
      <c r="O725" s="4"/>
      <c r="P725" s="5"/>
      <c r="Q725" s="1"/>
    </row>
    <row r="726" spans="2:17">
      <c r="B726" s="1"/>
      <c r="C726" s="2"/>
      <c r="D726" s="3"/>
      <c r="E726" s="1"/>
      <c r="F726" s="1"/>
      <c r="G726" s="1"/>
      <c r="H726" s="1"/>
      <c r="I726" s="4"/>
      <c r="J726" s="4"/>
      <c r="K726" s="4"/>
      <c r="L726" s="4"/>
      <c r="M726" s="4"/>
      <c r="N726" s="4"/>
      <c r="O726" s="4"/>
      <c r="P726" s="5"/>
      <c r="Q726" s="1"/>
    </row>
    <row r="727" spans="2:17">
      <c r="B727" s="1"/>
      <c r="C727" s="2"/>
      <c r="D727" s="3"/>
      <c r="E727" s="1"/>
      <c r="F727" s="1"/>
      <c r="G727" s="1"/>
      <c r="H727" s="1"/>
      <c r="I727" s="4"/>
      <c r="J727" s="4"/>
      <c r="K727" s="4"/>
      <c r="L727" s="4"/>
      <c r="M727" s="4"/>
      <c r="N727" s="4"/>
      <c r="O727" s="4"/>
      <c r="P727" s="5"/>
      <c r="Q727" s="1"/>
    </row>
    <row r="728" spans="2:17">
      <c r="B728" s="1"/>
      <c r="C728" s="2"/>
      <c r="D728" s="3"/>
      <c r="E728" s="1"/>
      <c r="F728" s="1"/>
      <c r="G728" s="1"/>
      <c r="H728" s="1"/>
      <c r="I728" s="4"/>
      <c r="J728" s="4"/>
      <c r="K728" s="4"/>
      <c r="L728" s="4"/>
      <c r="M728" s="4"/>
      <c r="N728" s="4"/>
      <c r="O728" s="4"/>
      <c r="P728" s="5"/>
      <c r="Q728" s="1"/>
    </row>
    <row r="729" spans="2:17">
      <c r="B729" s="1"/>
      <c r="C729" s="2"/>
      <c r="D729" s="3"/>
      <c r="E729" s="1"/>
      <c r="F729" s="1"/>
      <c r="G729" s="1"/>
      <c r="H729" s="1"/>
      <c r="I729" s="4"/>
      <c r="J729" s="4"/>
      <c r="K729" s="4"/>
      <c r="L729" s="4"/>
      <c r="M729" s="4"/>
      <c r="N729" s="4"/>
      <c r="O729" s="4"/>
      <c r="P729" s="5"/>
      <c r="Q729" s="1"/>
    </row>
    <row r="730" spans="2:17">
      <c r="B730" s="1"/>
      <c r="C730" s="2"/>
      <c r="D730" s="3"/>
      <c r="E730" s="1"/>
      <c r="F730" s="1"/>
      <c r="G730" s="1"/>
      <c r="H730" s="1"/>
      <c r="I730" s="4"/>
      <c r="J730" s="4"/>
      <c r="K730" s="4"/>
      <c r="L730" s="4"/>
      <c r="M730" s="4"/>
      <c r="N730" s="4"/>
      <c r="O730" s="4"/>
      <c r="P730" s="5"/>
      <c r="Q730" s="1"/>
    </row>
    <row r="731" spans="2:17">
      <c r="B731" s="1"/>
      <c r="C731" s="2"/>
      <c r="D731" s="3"/>
      <c r="E731" s="1"/>
      <c r="F731" s="1"/>
      <c r="G731" s="1"/>
      <c r="H731" s="1"/>
      <c r="I731" s="4"/>
      <c r="J731" s="4"/>
      <c r="K731" s="4"/>
      <c r="L731" s="4"/>
      <c r="M731" s="4"/>
      <c r="N731" s="4"/>
      <c r="O731" s="4"/>
      <c r="P731" s="5"/>
      <c r="Q731" s="1"/>
    </row>
    <row r="732" spans="2:17">
      <c r="B732" s="1"/>
      <c r="C732" s="2"/>
      <c r="D732" s="3"/>
      <c r="E732" s="1"/>
      <c r="F732" s="1"/>
      <c r="G732" s="1"/>
      <c r="H732" s="1"/>
      <c r="I732" s="4"/>
      <c r="J732" s="4"/>
      <c r="K732" s="4"/>
      <c r="L732" s="4"/>
      <c r="M732" s="4"/>
      <c r="N732" s="4"/>
      <c r="O732" s="4"/>
      <c r="P732" s="5"/>
      <c r="Q732" s="1"/>
    </row>
    <row r="733" spans="2:17">
      <c r="B733" s="1"/>
      <c r="C733" s="2"/>
      <c r="D733" s="3"/>
      <c r="E733" s="1"/>
      <c r="F733" s="1"/>
      <c r="G733" s="1"/>
      <c r="H733" s="1"/>
      <c r="I733" s="4"/>
      <c r="J733" s="4"/>
      <c r="K733" s="4"/>
      <c r="L733" s="4"/>
      <c r="M733" s="4"/>
      <c r="N733" s="4"/>
      <c r="O733" s="4"/>
      <c r="P733" s="5"/>
      <c r="Q733" s="1"/>
    </row>
    <row r="734" spans="2:17">
      <c r="B734" s="1"/>
      <c r="C734" s="2"/>
      <c r="D734" s="3"/>
      <c r="E734" s="1"/>
      <c r="F734" s="1"/>
      <c r="G734" s="1"/>
      <c r="H734" s="1"/>
      <c r="I734" s="4"/>
      <c r="J734" s="4"/>
      <c r="K734" s="4"/>
      <c r="L734" s="4"/>
      <c r="M734" s="4"/>
      <c r="N734" s="4"/>
      <c r="O734" s="4"/>
      <c r="P734" s="5"/>
      <c r="Q734" s="1"/>
    </row>
    <row r="735" spans="2:17">
      <c r="B735" s="1"/>
      <c r="C735" s="2"/>
      <c r="D735" s="3"/>
      <c r="E735" s="1"/>
      <c r="F735" s="1"/>
      <c r="G735" s="1"/>
      <c r="H735" s="1"/>
      <c r="I735" s="4"/>
      <c r="J735" s="4"/>
      <c r="K735" s="4"/>
      <c r="L735" s="4"/>
      <c r="M735" s="4"/>
      <c r="N735" s="4"/>
      <c r="O735" s="4"/>
      <c r="P735" s="5"/>
      <c r="Q735" s="1"/>
    </row>
    <row r="736" spans="2:17">
      <c r="B736" s="1"/>
      <c r="C736" s="2"/>
      <c r="D736" s="3"/>
      <c r="E736" s="1"/>
      <c r="F736" s="1"/>
      <c r="G736" s="1"/>
      <c r="H736" s="1"/>
      <c r="I736" s="4"/>
      <c r="J736" s="4"/>
      <c r="K736" s="4"/>
      <c r="L736" s="4"/>
      <c r="M736" s="4"/>
      <c r="N736" s="4"/>
      <c r="O736" s="4"/>
      <c r="P736" s="5"/>
      <c r="Q736" s="1"/>
    </row>
    <row r="737" spans="2:17">
      <c r="B737" s="1"/>
      <c r="C737" s="2"/>
      <c r="D737" s="3"/>
      <c r="E737" s="1"/>
      <c r="F737" s="1"/>
      <c r="G737" s="1"/>
      <c r="H737" s="1"/>
      <c r="I737" s="4"/>
      <c r="J737" s="4"/>
      <c r="K737" s="4"/>
      <c r="L737" s="4"/>
      <c r="M737" s="4"/>
      <c r="N737" s="4"/>
      <c r="O737" s="4"/>
      <c r="P737" s="5"/>
      <c r="Q737" s="1"/>
    </row>
    <row r="738" spans="2:17">
      <c r="B738" s="1"/>
      <c r="C738" s="2"/>
      <c r="D738" s="3"/>
      <c r="E738" s="1"/>
      <c r="F738" s="1"/>
      <c r="G738" s="1"/>
      <c r="H738" s="1"/>
      <c r="I738" s="4"/>
      <c r="J738" s="4"/>
      <c r="K738" s="4"/>
      <c r="L738" s="4"/>
      <c r="M738" s="4"/>
      <c r="N738" s="4"/>
      <c r="O738" s="4"/>
      <c r="P738" s="5"/>
      <c r="Q738" s="1"/>
    </row>
    <row r="739" spans="2:17">
      <c r="B739" s="1"/>
      <c r="C739" s="2"/>
      <c r="D739" s="3"/>
      <c r="E739" s="1"/>
      <c r="F739" s="1"/>
      <c r="G739" s="1"/>
      <c r="H739" s="1"/>
      <c r="I739" s="4"/>
      <c r="J739" s="4"/>
      <c r="K739" s="4"/>
      <c r="L739" s="4"/>
      <c r="M739" s="4"/>
      <c r="N739" s="4"/>
      <c r="O739" s="4"/>
      <c r="P739" s="5"/>
      <c r="Q739" s="1"/>
    </row>
    <row r="740" spans="2:17">
      <c r="B740" s="1"/>
      <c r="C740" s="2"/>
      <c r="D740" s="3"/>
      <c r="E740" s="1"/>
      <c r="F740" s="1"/>
      <c r="G740" s="1"/>
      <c r="H740" s="1"/>
      <c r="I740" s="4"/>
      <c r="J740" s="4"/>
      <c r="K740" s="4"/>
      <c r="L740" s="4"/>
      <c r="M740" s="4"/>
      <c r="N740" s="4"/>
      <c r="O740" s="4"/>
      <c r="P740" s="5"/>
      <c r="Q740" s="1"/>
    </row>
    <row r="741" spans="2:17">
      <c r="B741" s="1"/>
      <c r="C741" s="2"/>
      <c r="D741" s="3"/>
      <c r="E741" s="1"/>
      <c r="F741" s="1"/>
      <c r="G741" s="1"/>
      <c r="H741" s="1"/>
      <c r="I741" s="4"/>
      <c r="J741" s="4"/>
      <c r="K741" s="4"/>
      <c r="L741" s="4"/>
      <c r="M741" s="4"/>
      <c r="N741" s="4"/>
      <c r="O741" s="4"/>
      <c r="P741" s="5"/>
      <c r="Q741" s="1"/>
    </row>
    <row r="742" spans="2:17">
      <c r="B742" s="1"/>
      <c r="C742" s="2"/>
      <c r="D742" s="3"/>
      <c r="E742" s="1"/>
      <c r="F742" s="1"/>
      <c r="G742" s="1"/>
      <c r="H742" s="1"/>
      <c r="I742" s="4"/>
      <c r="J742" s="4"/>
      <c r="K742" s="4"/>
      <c r="L742" s="4"/>
      <c r="M742" s="4"/>
      <c r="N742" s="4"/>
      <c r="O742" s="4"/>
      <c r="P742" s="5"/>
      <c r="Q742" s="1"/>
    </row>
    <row r="743" spans="2:17">
      <c r="B743" s="1"/>
      <c r="C743" s="2"/>
      <c r="D743" s="3"/>
      <c r="E743" s="1"/>
      <c r="F743" s="1"/>
      <c r="G743" s="1"/>
      <c r="H743" s="1"/>
      <c r="I743" s="4"/>
      <c r="J743" s="4"/>
      <c r="K743" s="4"/>
      <c r="L743" s="4"/>
      <c r="M743" s="4"/>
      <c r="N743" s="4"/>
      <c r="O743" s="4"/>
      <c r="P743" s="5"/>
      <c r="Q743" s="1"/>
    </row>
    <row r="744" spans="2:17">
      <c r="B744" s="1"/>
      <c r="C744" s="2"/>
      <c r="D744" s="3"/>
      <c r="E744" s="1"/>
      <c r="F744" s="1"/>
      <c r="G744" s="1"/>
      <c r="H744" s="1"/>
      <c r="I744" s="4"/>
      <c r="J744" s="4"/>
      <c r="K744" s="4"/>
      <c r="L744" s="4"/>
      <c r="M744" s="4"/>
      <c r="N744" s="4"/>
      <c r="O744" s="4"/>
      <c r="P744" s="5"/>
      <c r="Q744" s="1"/>
    </row>
    <row r="745" spans="2:17">
      <c r="B745" s="1"/>
      <c r="C745" s="2"/>
      <c r="D745" s="3"/>
      <c r="E745" s="1"/>
      <c r="F745" s="1"/>
      <c r="G745" s="1"/>
      <c r="H745" s="1"/>
      <c r="I745" s="4"/>
      <c r="J745" s="4"/>
      <c r="K745" s="4"/>
      <c r="L745" s="4"/>
      <c r="M745" s="4"/>
      <c r="N745" s="4"/>
      <c r="O745" s="4"/>
      <c r="P745" s="5"/>
      <c r="Q745" s="1"/>
    </row>
    <row r="746" spans="2:17">
      <c r="B746" s="1"/>
      <c r="C746" s="2"/>
      <c r="D746" s="3"/>
      <c r="E746" s="1"/>
      <c r="F746" s="1"/>
      <c r="G746" s="1"/>
      <c r="H746" s="1"/>
      <c r="I746" s="4"/>
      <c r="J746" s="4"/>
      <c r="K746" s="4"/>
      <c r="L746" s="4"/>
      <c r="M746" s="4"/>
      <c r="N746" s="4"/>
      <c r="O746" s="4"/>
      <c r="P746" s="5"/>
      <c r="Q746" s="1"/>
    </row>
    <row r="747" spans="2:17">
      <c r="B747" s="1"/>
      <c r="C747" s="2"/>
      <c r="D747" s="3"/>
      <c r="E747" s="1"/>
      <c r="F747" s="1"/>
      <c r="G747" s="1"/>
      <c r="H747" s="1"/>
      <c r="I747" s="4"/>
      <c r="J747" s="4"/>
      <c r="K747" s="4"/>
      <c r="L747" s="4"/>
      <c r="M747" s="4"/>
      <c r="N747" s="4"/>
      <c r="O747" s="4"/>
      <c r="P747" s="5"/>
      <c r="Q747" s="1"/>
    </row>
    <row r="748" spans="2:17">
      <c r="B748" s="1"/>
      <c r="C748" s="2"/>
      <c r="D748" s="3"/>
      <c r="E748" s="1"/>
      <c r="F748" s="1"/>
      <c r="G748" s="1"/>
      <c r="H748" s="1"/>
      <c r="I748" s="4"/>
      <c r="J748" s="4"/>
      <c r="K748" s="4"/>
      <c r="L748" s="4"/>
      <c r="M748" s="4"/>
      <c r="N748" s="4"/>
      <c r="O748" s="4"/>
      <c r="P748" s="5"/>
      <c r="Q748" s="1"/>
    </row>
    <row r="749" spans="2:17">
      <c r="B749" s="1"/>
      <c r="C749" s="2"/>
      <c r="D749" s="3"/>
      <c r="E749" s="1"/>
      <c r="F749" s="1"/>
      <c r="G749" s="1"/>
      <c r="H749" s="1"/>
      <c r="I749" s="4"/>
      <c r="J749" s="4"/>
      <c r="K749" s="4"/>
      <c r="L749" s="4"/>
      <c r="M749" s="4"/>
      <c r="N749" s="4"/>
      <c r="O749" s="4"/>
      <c r="P749" s="5"/>
      <c r="Q749" s="1"/>
    </row>
    <row r="750" spans="2:17">
      <c r="B750" s="1"/>
      <c r="C750" s="2"/>
      <c r="D750" s="3"/>
      <c r="E750" s="1"/>
      <c r="F750" s="1"/>
      <c r="G750" s="1"/>
      <c r="H750" s="1"/>
      <c r="I750" s="4"/>
      <c r="J750" s="4"/>
      <c r="K750" s="4"/>
      <c r="L750" s="4"/>
      <c r="M750" s="4"/>
      <c r="N750" s="4"/>
      <c r="O750" s="4"/>
      <c r="P750" s="5"/>
      <c r="Q750" s="1"/>
    </row>
    <row r="751" spans="2:17">
      <c r="B751" s="1"/>
      <c r="C751" s="2"/>
      <c r="D751" s="3"/>
      <c r="E751" s="1"/>
      <c r="F751" s="1"/>
      <c r="G751" s="1"/>
      <c r="H751" s="1"/>
      <c r="I751" s="4"/>
      <c r="J751" s="4"/>
      <c r="K751" s="4"/>
      <c r="L751" s="4"/>
      <c r="M751" s="4"/>
      <c r="N751" s="4"/>
      <c r="O751" s="4"/>
      <c r="P751" s="5"/>
      <c r="Q751" s="1"/>
    </row>
    <row r="752" spans="2:17">
      <c r="B752" s="1"/>
      <c r="C752" s="2"/>
      <c r="D752" s="3"/>
      <c r="E752" s="1"/>
      <c r="F752" s="1"/>
      <c r="G752" s="1"/>
      <c r="H752" s="1"/>
      <c r="I752" s="4"/>
      <c r="J752" s="4"/>
      <c r="K752" s="4"/>
      <c r="L752" s="4"/>
      <c r="M752" s="4"/>
      <c r="N752" s="4"/>
      <c r="O752" s="4"/>
      <c r="P752" s="5"/>
      <c r="Q752" s="1"/>
    </row>
    <row r="753" spans="2:17">
      <c r="B753" s="1"/>
      <c r="C753" s="2"/>
      <c r="D753" s="3"/>
      <c r="E753" s="1"/>
      <c r="F753" s="1"/>
      <c r="G753" s="1"/>
      <c r="H753" s="1"/>
      <c r="I753" s="4"/>
      <c r="J753" s="4"/>
      <c r="K753" s="4"/>
      <c r="L753" s="4"/>
      <c r="M753" s="4"/>
      <c r="N753" s="4"/>
      <c r="O753" s="4"/>
      <c r="P753" s="5"/>
      <c r="Q753" s="1"/>
    </row>
    <row r="754" spans="2:17">
      <c r="B754" s="1"/>
      <c r="C754" s="2"/>
      <c r="D754" s="3"/>
      <c r="E754" s="1"/>
      <c r="F754" s="1"/>
      <c r="G754" s="1"/>
      <c r="H754" s="1"/>
      <c r="I754" s="4"/>
      <c r="J754" s="4"/>
      <c r="K754" s="4"/>
      <c r="L754" s="4"/>
      <c r="M754" s="4"/>
      <c r="N754" s="4"/>
      <c r="O754" s="4"/>
      <c r="P754" s="5"/>
      <c r="Q754" s="1"/>
    </row>
    <row r="755" spans="2:17">
      <c r="B755" s="1"/>
      <c r="C755" s="2"/>
      <c r="D755" s="3"/>
      <c r="E755" s="1"/>
      <c r="F755" s="1"/>
      <c r="G755" s="1"/>
      <c r="H755" s="1"/>
      <c r="I755" s="4"/>
      <c r="J755" s="4"/>
      <c r="K755" s="4"/>
      <c r="L755" s="4"/>
      <c r="M755" s="4"/>
      <c r="N755" s="4"/>
      <c r="O755" s="4"/>
      <c r="P755" s="5"/>
      <c r="Q755" s="1"/>
    </row>
    <row r="756" spans="2:17">
      <c r="B756" s="1"/>
      <c r="C756" s="2"/>
      <c r="D756" s="3"/>
      <c r="E756" s="1"/>
      <c r="F756" s="1"/>
      <c r="G756" s="1"/>
      <c r="H756" s="1"/>
      <c r="I756" s="4"/>
      <c r="J756" s="4"/>
      <c r="K756" s="4"/>
      <c r="L756" s="4"/>
      <c r="M756" s="4"/>
      <c r="N756" s="4"/>
      <c r="O756" s="4"/>
      <c r="P756" s="5"/>
      <c r="Q756" s="1"/>
    </row>
    <row r="757" spans="2:17">
      <c r="B757" s="1"/>
      <c r="C757" s="2"/>
      <c r="D757" s="3"/>
      <c r="E757" s="1"/>
      <c r="F757" s="1"/>
      <c r="G757" s="1"/>
      <c r="H757" s="1"/>
      <c r="I757" s="4"/>
      <c r="J757" s="4"/>
      <c r="K757" s="4"/>
      <c r="L757" s="4"/>
      <c r="M757" s="4"/>
      <c r="N757" s="4"/>
      <c r="O757" s="4"/>
      <c r="P757" s="5"/>
      <c r="Q757" s="1"/>
    </row>
    <row r="758" spans="2:17">
      <c r="B758" s="1"/>
      <c r="C758" s="2"/>
      <c r="D758" s="3"/>
      <c r="E758" s="1"/>
      <c r="F758" s="1"/>
      <c r="G758" s="1"/>
      <c r="H758" s="1"/>
      <c r="I758" s="4"/>
      <c r="J758" s="4"/>
      <c r="K758" s="4"/>
      <c r="L758" s="4"/>
      <c r="M758" s="4"/>
      <c r="N758" s="4"/>
      <c r="O758" s="4"/>
      <c r="P758" s="5"/>
      <c r="Q758" s="1"/>
    </row>
    <row r="759" spans="2:17">
      <c r="B759" s="1"/>
      <c r="C759" s="2"/>
      <c r="D759" s="3"/>
      <c r="E759" s="1"/>
      <c r="F759" s="1"/>
      <c r="G759" s="1"/>
      <c r="H759" s="1"/>
      <c r="I759" s="4"/>
      <c r="J759" s="4"/>
      <c r="K759" s="4"/>
      <c r="L759" s="4"/>
      <c r="M759" s="4"/>
      <c r="N759" s="4"/>
      <c r="O759" s="4"/>
      <c r="P759" s="5"/>
      <c r="Q759" s="1"/>
    </row>
    <row r="760" spans="2:17">
      <c r="B760" s="1"/>
      <c r="C760" s="2"/>
      <c r="D760" s="3"/>
      <c r="E760" s="1"/>
      <c r="F760" s="1"/>
      <c r="G760" s="1"/>
      <c r="H760" s="1"/>
      <c r="I760" s="4"/>
      <c r="J760" s="4"/>
      <c r="K760" s="4"/>
      <c r="L760" s="4"/>
      <c r="M760" s="4"/>
      <c r="N760" s="4"/>
      <c r="O760" s="4"/>
      <c r="P760" s="5"/>
      <c r="Q760" s="1"/>
    </row>
    <row r="761" spans="2:17">
      <c r="B761" s="1"/>
      <c r="C761" s="2"/>
      <c r="D761" s="3"/>
      <c r="E761" s="1"/>
      <c r="F761" s="1"/>
      <c r="G761" s="1"/>
      <c r="H761" s="1"/>
      <c r="I761" s="4"/>
      <c r="J761" s="4"/>
      <c r="K761" s="4"/>
      <c r="L761" s="4"/>
      <c r="M761" s="4"/>
      <c r="N761" s="4"/>
      <c r="O761" s="4"/>
      <c r="P761" s="5"/>
      <c r="Q761" s="1"/>
    </row>
    <row r="762" spans="2:17">
      <c r="B762" s="1"/>
      <c r="C762" s="2"/>
      <c r="D762" s="3"/>
      <c r="E762" s="1"/>
      <c r="F762" s="1"/>
      <c r="G762" s="1"/>
      <c r="H762" s="1"/>
      <c r="I762" s="4"/>
      <c r="J762" s="4"/>
      <c r="K762" s="4"/>
      <c r="L762" s="4"/>
      <c r="M762" s="4"/>
      <c r="N762" s="4"/>
      <c r="O762" s="4"/>
      <c r="P762" s="5"/>
      <c r="Q762" s="1"/>
    </row>
    <row r="763" spans="2:17">
      <c r="B763" s="1"/>
      <c r="C763" s="2"/>
      <c r="D763" s="3"/>
      <c r="E763" s="1"/>
      <c r="F763" s="1"/>
      <c r="G763" s="1"/>
      <c r="H763" s="1"/>
      <c r="I763" s="4"/>
      <c r="J763" s="4"/>
      <c r="K763" s="4"/>
      <c r="L763" s="4"/>
      <c r="M763" s="4"/>
      <c r="N763" s="4"/>
      <c r="O763" s="4"/>
      <c r="P763" s="5"/>
      <c r="Q763" s="1"/>
    </row>
    <row r="764" spans="2:17">
      <c r="B764" s="1"/>
      <c r="C764" s="2"/>
      <c r="D764" s="3"/>
      <c r="E764" s="1"/>
      <c r="F764" s="1"/>
      <c r="G764" s="1"/>
      <c r="H764" s="1"/>
      <c r="I764" s="4"/>
      <c r="J764" s="4"/>
      <c r="K764" s="4"/>
      <c r="L764" s="4"/>
      <c r="M764" s="4"/>
      <c r="N764" s="4"/>
      <c r="O764" s="4"/>
      <c r="P764" s="5"/>
      <c r="Q764" s="1"/>
    </row>
    <row r="765" spans="2:17">
      <c r="B765" s="1"/>
      <c r="C765" s="2"/>
      <c r="D765" s="3"/>
      <c r="E765" s="1"/>
      <c r="F765" s="1"/>
      <c r="G765" s="1"/>
      <c r="H765" s="1"/>
      <c r="I765" s="4"/>
      <c r="J765" s="4"/>
      <c r="K765" s="4"/>
      <c r="L765" s="4"/>
      <c r="M765" s="4"/>
      <c r="N765" s="4"/>
      <c r="O765" s="4"/>
      <c r="P765" s="5"/>
      <c r="Q765" s="1"/>
    </row>
    <row r="766" spans="2:17">
      <c r="B766" s="1"/>
      <c r="C766" s="2"/>
      <c r="D766" s="3"/>
      <c r="E766" s="1"/>
      <c r="F766" s="1"/>
      <c r="G766" s="1"/>
      <c r="H766" s="1"/>
      <c r="I766" s="4"/>
      <c r="J766" s="4"/>
      <c r="K766" s="4"/>
      <c r="L766" s="4"/>
      <c r="M766" s="4"/>
      <c r="N766" s="4"/>
      <c r="O766" s="4"/>
      <c r="P766" s="5"/>
      <c r="Q766" s="1"/>
    </row>
    <row r="767" spans="2:17">
      <c r="B767" s="1"/>
      <c r="C767" s="2"/>
      <c r="D767" s="3"/>
      <c r="E767" s="1"/>
      <c r="F767" s="1"/>
      <c r="G767" s="1"/>
      <c r="H767" s="1"/>
      <c r="I767" s="4"/>
      <c r="J767" s="4"/>
      <c r="K767" s="4"/>
      <c r="L767" s="4"/>
      <c r="M767" s="4"/>
      <c r="N767" s="4"/>
      <c r="O767" s="4"/>
      <c r="P767" s="5"/>
      <c r="Q767" s="1"/>
    </row>
    <row r="768" spans="2:17">
      <c r="B768" s="1"/>
      <c r="C768" s="2"/>
      <c r="D768" s="3"/>
      <c r="E768" s="1"/>
      <c r="F768" s="1"/>
      <c r="G768" s="1"/>
      <c r="H768" s="1"/>
      <c r="I768" s="4"/>
      <c r="J768" s="4"/>
      <c r="K768" s="4"/>
      <c r="L768" s="4"/>
      <c r="M768" s="4"/>
      <c r="N768" s="4"/>
      <c r="O768" s="4"/>
      <c r="P768" s="5"/>
      <c r="Q768" s="1"/>
    </row>
    <row r="769" spans="2:17">
      <c r="B769" s="1"/>
      <c r="C769" s="2"/>
      <c r="D769" s="3"/>
      <c r="E769" s="1"/>
      <c r="F769" s="1"/>
      <c r="G769" s="1"/>
      <c r="H769" s="1"/>
      <c r="I769" s="4"/>
      <c r="J769" s="4"/>
      <c r="K769" s="4"/>
      <c r="L769" s="4"/>
      <c r="M769" s="4"/>
      <c r="N769" s="4"/>
      <c r="O769" s="4"/>
      <c r="P769" s="5"/>
      <c r="Q769" s="1"/>
    </row>
    <row r="770" spans="2:17">
      <c r="B770" s="1"/>
      <c r="C770" s="2"/>
      <c r="D770" s="3"/>
      <c r="E770" s="1"/>
      <c r="F770" s="1"/>
      <c r="G770" s="1"/>
      <c r="H770" s="1"/>
      <c r="I770" s="4"/>
      <c r="J770" s="4"/>
      <c r="K770" s="4"/>
      <c r="L770" s="4"/>
      <c r="M770" s="4"/>
      <c r="N770" s="4"/>
      <c r="O770" s="4"/>
      <c r="P770" s="5"/>
      <c r="Q770" s="1"/>
    </row>
    <row r="771" spans="2:17">
      <c r="B771" s="1"/>
      <c r="C771" s="2"/>
      <c r="D771" s="3"/>
      <c r="E771" s="1"/>
      <c r="F771" s="1"/>
      <c r="G771" s="1"/>
      <c r="H771" s="1"/>
      <c r="I771" s="4"/>
      <c r="J771" s="4"/>
      <c r="K771" s="4"/>
      <c r="L771" s="4"/>
      <c r="M771" s="4"/>
      <c r="N771" s="4"/>
      <c r="O771" s="4"/>
      <c r="P771" s="5"/>
      <c r="Q771" s="1"/>
    </row>
    <row r="772" spans="2:17">
      <c r="B772" s="1"/>
      <c r="C772" s="2"/>
      <c r="D772" s="3"/>
      <c r="E772" s="1"/>
      <c r="F772" s="1"/>
      <c r="G772" s="1"/>
      <c r="H772" s="1"/>
      <c r="I772" s="4"/>
      <c r="J772" s="4"/>
      <c r="K772" s="4"/>
      <c r="L772" s="4"/>
      <c r="M772" s="4"/>
      <c r="N772" s="4"/>
      <c r="O772" s="4"/>
      <c r="P772" s="5"/>
      <c r="Q772" s="1"/>
    </row>
    <row r="773" spans="2:17">
      <c r="B773" s="1"/>
      <c r="C773" s="2"/>
      <c r="D773" s="3"/>
      <c r="E773" s="1"/>
      <c r="F773" s="1"/>
      <c r="G773" s="1"/>
      <c r="H773" s="1"/>
      <c r="I773" s="4"/>
      <c r="J773" s="4"/>
      <c r="K773" s="4"/>
      <c r="L773" s="4"/>
      <c r="M773" s="4"/>
      <c r="N773" s="4"/>
      <c r="O773" s="4"/>
      <c r="P773" s="5"/>
      <c r="Q773" s="1"/>
    </row>
    <row r="774" spans="2:17">
      <c r="B774" s="1"/>
      <c r="C774" s="2"/>
      <c r="D774" s="3"/>
      <c r="E774" s="1"/>
      <c r="F774" s="1"/>
      <c r="G774" s="1"/>
      <c r="H774" s="1"/>
      <c r="I774" s="4"/>
      <c r="J774" s="4"/>
      <c r="K774" s="4"/>
      <c r="L774" s="4"/>
      <c r="M774" s="4"/>
      <c r="N774" s="4"/>
      <c r="O774" s="4"/>
      <c r="P774" s="5"/>
      <c r="Q774" s="1"/>
    </row>
    <row r="775" spans="2:17">
      <c r="B775" s="1"/>
      <c r="C775" s="2"/>
      <c r="D775" s="3"/>
      <c r="E775" s="1"/>
      <c r="F775" s="1"/>
      <c r="G775" s="1"/>
      <c r="H775" s="1"/>
      <c r="I775" s="4"/>
      <c r="J775" s="4"/>
      <c r="K775" s="4"/>
      <c r="L775" s="4"/>
      <c r="M775" s="4"/>
      <c r="N775" s="4"/>
      <c r="O775" s="4"/>
      <c r="P775" s="5"/>
      <c r="Q775" s="1"/>
    </row>
    <row r="776" spans="2:17">
      <c r="B776" s="1"/>
      <c r="C776" s="2"/>
      <c r="D776" s="3"/>
      <c r="E776" s="1"/>
      <c r="F776" s="1"/>
      <c r="G776" s="1"/>
      <c r="H776" s="1"/>
      <c r="I776" s="4"/>
      <c r="J776" s="4"/>
      <c r="K776" s="4"/>
      <c r="L776" s="4"/>
      <c r="M776" s="4"/>
      <c r="N776" s="4"/>
      <c r="O776" s="4"/>
      <c r="P776" s="5"/>
      <c r="Q776" s="1"/>
    </row>
    <row r="777" spans="2:17">
      <c r="B777" s="1"/>
      <c r="C777" s="2"/>
      <c r="D777" s="3"/>
      <c r="E777" s="1"/>
      <c r="F777" s="1"/>
      <c r="G777" s="1"/>
      <c r="H777" s="1"/>
      <c r="I777" s="4"/>
      <c r="J777" s="4"/>
      <c r="K777" s="4"/>
      <c r="L777" s="4"/>
      <c r="M777" s="4"/>
      <c r="N777" s="4"/>
      <c r="O777" s="4"/>
      <c r="P777" s="5"/>
      <c r="Q777" s="1"/>
    </row>
    <row r="778" spans="2:17">
      <c r="B778" s="1"/>
      <c r="C778" s="2"/>
      <c r="D778" s="3"/>
      <c r="E778" s="1"/>
      <c r="F778" s="1"/>
      <c r="G778" s="1"/>
      <c r="H778" s="1"/>
      <c r="I778" s="4"/>
      <c r="J778" s="4"/>
      <c r="K778" s="4"/>
      <c r="L778" s="4"/>
      <c r="M778" s="4"/>
      <c r="N778" s="4"/>
      <c r="O778" s="4"/>
      <c r="P778" s="5"/>
      <c r="Q778" s="1"/>
    </row>
    <row r="779" spans="2:17">
      <c r="B779" s="1"/>
      <c r="C779" s="2"/>
      <c r="D779" s="3"/>
      <c r="E779" s="1"/>
      <c r="F779" s="1"/>
      <c r="G779" s="1"/>
      <c r="H779" s="1"/>
      <c r="I779" s="4"/>
      <c r="J779" s="4"/>
      <c r="K779" s="4"/>
      <c r="L779" s="4"/>
      <c r="M779" s="4"/>
      <c r="N779" s="4"/>
      <c r="O779" s="4"/>
      <c r="P779" s="5"/>
      <c r="Q779" s="1"/>
    </row>
  </sheetData>
  <sheetProtection selectLockedCells="1"/>
  <mergeCells count="15">
    <mergeCell ref="F6:G6"/>
    <mergeCell ref="B9:B10"/>
    <mergeCell ref="C9:C10"/>
    <mergeCell ref="D9:E9"/>
    <mergeCell ref="F9:F10"/>
    <mergeCell ref="G9:G10"/>
    <mergeCell ref="N9:N10"/>
    <mergeCell ref="O9:O10"/>
    <mergeCell ref="P9:P10"/>
    <mergeCell ref="H9:H10"/>
    <mergeCell ref="I9:I10"/>
    <mergeCell ref="J9:J10"/>
    <mergeCell ref="K9:K10"/>
    <mergeCell ref="L9:L10"/>
    <mergeCell ref="M9:M10"/>
  </mergeCells>
  <conditionalFormatting sqref="B11:P397">
    <cfRule type="expression" dxfId="4" priority="3">
      <formula>$H11="GOW"</formula>
    </cfRule>
    <cfRule type="expression" dxfId="3" priority="4">
      <formula>AND(OR($I11="a",$J11="a",$K11="a",$L11="a"),$H11="")</formula>
    </cfRule>
    <cfRule type="expression" dxfId="2" priority="5">
      <formula>AND($H11="GOW",$I11="a")</formula>
    </cfRule>
  </conditionalFormatting>
  <conditionalFormatting sqref="B12:P397 C11">
    <cfRule type="expression" dxfId="1" priority="1">
      <formula>$B11&lt;&gt;""</formula>
    </cfRule>
  </conditionalFormatting>
  <conditionalFormatting sqref="B11:P11">
    <cfRule type="expression" dxfId="0" priority="2">
      <formula>$B$11&lt;&gt;""</formula>
    </cfRule>
  </conditionalFormatting>
  <dataValidations count="1">
    <dataValidation type="list" allowBlank="1" showInputMessage="1" showErrorMessage="1" sqref="C2 C5:C7">
      <formula1>Round</formula1>
    </dataValidation>
  </dataValidations>
  <pageMargins left="0.25" right="0.25" top="0.75" bottom="0.75" header="0.3" footer="0.3"/>
  <pageSetup paperSize="9" scale="53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Game Selection Email</vt:lpstr>
      <vt:lpstr>'Game Selection Email'!Área_de_impresión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Georgina Harding</dc:creator>
  <cp:lastModifiedBy>alberca.julian20@gmail.com</cp:lastModifiedBy>
  <dcterms:created xsi:type="dcterms:W3CDTF">2025-05-13T12:52:22Z</dcterms:created>
  <dcterms:modified xsi:type="dcterms:W3CDTF">2025-06-16T13:45:15Z</dcterms:modified>
</cp:coreProperties>
</file>